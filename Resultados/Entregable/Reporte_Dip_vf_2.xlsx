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86E112D6-04B3-4323-ACB1-8743BEB76079}" xr6:coauthVersionLast="47" xr6:coauthVersionMax="47" xr10:uidLastSave="{00000000-0000-0000-0000-000000000000}"/>
  <bookViews>
    <workbookView xWindow="-110" yWindow="-110" windowWidth="19420" windowHeight="11500" firstSheet="4" activeTab="15" xr2:uid="{85AAF8D7-1A96-46DE-A921-B4694576F524}"/>
  </bookViews>
  <sheets>
    <sheet name="Resumen de Pactos" sheetId="33" r:id="rId1"/>
    <sheet name="D3" sheetId="1" r:id="rId2"/>
    <sheet name="D5" sheetId="16" r:id="rId3"/>
    <sheet name="D6" sheetId="17" r:id="rId4"/>
    <sheet name="D7" sheetId="18" r:id="rId5"/>
    <sheet name="D8" sheetId="19" r:id="rId6"/>
    <sheet name="D9" sheetId="20" r:id="rId7"/>
    <sheet name="D10" sheetId="21" r:id="rId8"/>
    <sheet name="D13" sheetId="22" r:id="rId9"/>
    <sheet name="D15" sheetId="23" r:id="rId10"/>
    <sheet name="D16" sheetId="24" r:id="rId11"/>
    <sheet name="D21" sheetId="25" r:id="rId12"/>
    <sheet name="D23" sheetId="26" r:id="rId13"/>
    <sheet name="D24" sheetId="27" r:id="rId14"/>
    <sheet name="D26" sheetId="28" r:id="rId15"/>
    <sheet name="D28" sheetId="29" r:id="rId16"/>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6" l="1"/>
  <c r="K13" i="16"/>
  <c r="K14" i="17"/>
  <c r="K13" i="17"/>
  <c r="K14" i="18"/>
  <c r="K13" i="18"/>
  <c r="K14" i="20"/>
  <c r="K13" i="20"/>
  <c r="K14" i="21"/>
  <c r="K13" i="21"/>
  <c r="K14" i="25"/>
  <c r="K13" i="25"/>
  <c r="K14" i="26"/>
  <c r="K13" i="26"/>
  <c r="N14" i="1"/>
  <c r="M14" i="1"/>
  <c r="L14" i="1"/>
  <c r="K14" i="1"/>
  <c r="N13" i="1"/>
  <c r="M13" i="1"/>
  <c r="L13" i="1"/>
  <c r="K13" i="1"/>
  <c r="J14" i="1"/>
  <c r="I14" i="1"/>
  <c r="H14" i="1"/>
  <c r="G14" i="1"/>
  <c r="F14" i="1"/>
  <c r="E14" i="1"/>
  <c r="D14" i="1"/>
  <c r="C14" i="1"/>
  <c r="J13" i="1"/>
  <c r="I13" i="1"/>
  <c r="H13" i="1"/>
  <c r="G13" i="1"/>
  <c r="F13" i="1"/>
  <c r="E13" i="1"/>
  <c r="D13" i="1"/>
  <c r="C13" i="1"/>
  <c r="J14" i="16"/>
  <c r="I14" i="16"/>
  <c r="H14" i="16"/>
  <c r="G14" i="16"/>
  <c r="F14" i="16"/>
  <c r="E14" i="16"/>
  <c r="D14" i="16"/>
  <c r="C14" i="16"/>
  <c r="J13" i="16"/>
  <c r="I13" i="16"/>
  <c r="H13" i="16"/>
  <c r="G13" i="16"/>
  <c r="F13" i="16"/>
  <c r="E13" i="16"/>
  <c r="D13" i="16"/>
  <c r="C13" i="16"/>
  <c r="J14" i="17"/>
  <c r="I14" i="17"/>
  <c r="H14" i="17"/>
  <c r="G14" i="17"/>
  <c r="F14" i="17"/>
  <c r="E14" i="17"/>
  <c r="D14" i="17"/>
  <c r="C14" i="17"/>
  <c r="J13" i="17"/>
  <c r="I13" i="17"/>
  <c r="H13" i="17"/>
  <c r="G13" i="17"/>
  <c r="F13" i="17"/>
  <c r="E13" i="17"/>
  <c r="D13" i="17"/>
  <c r="C13" i="17"/>
  <c r="J14" i="18"/>
  <c r="I14" i="18"/>
  <c r="H14" i="18"/>
  <c r="G14" i="18"/>
  <c r="F14" i="18"/>
  <c r="E14" i="18"/>
  <c r="D14" i="18"/>
  <c r="C14" i="18"/>
  <c r="J13" i="18"/>
  <c r="I13" i="18"/>
  <c r="H13" i="18"/>
  <c r="G13" i="18"/>
  <c r="F13" i="18"/>
  <c r="E13" i="18"/>
  <c r="D13" i="18"/>
  <c r="C13" i="18"/>
  <c r="J14" i="19"/>
  <c r="I14" i="19"/>
  <c r="H14" i="19"/>
  <c r="G14" i="19"/>
  <c r="F14" i="19"/>
  <c r="E14" i="19"/>
  <c r="D14" i="19"/>
  <c r="C14" i="19"/>
  <c r="J13" i="19"/>
  <c r="I13" i="19"/>
  <c r="H13" i="19"/>
  <c r="G13" i="19"/>
  <c r="F13" i="19"/>
  <c r="E13" i="19"/>
  <c r="D13" i="19"/>
  <c r="C13" i="19"/>
  <c r="J14" i="20"/>
  <c r="I14" i="20"/>
  <c r="H14" i="20"/>
  <c r="G14" i="20"/>
  <c r="F14" i="20"/>
  <c r="E14" i="20"/>
  <c r="D14" i="20"/>
  <c r="C14" i="20"/>
  <c r="J13" i="20"/>
  <c r="I13" i="20"/>
  <c r="H13" i="20"/>
  <c r="G13" i="20"/>
  <c r="F13" i="20"/>
  <c r="E13" i="20"/>
  <c r="D13" i="20"/>
  <c r="C13" i="20"/>
  <c r="J14" i="21"/>
  <c r="I14" i="21"/>
  <c r="H14" i="21"/>
  <c r="G14" i="21"/>
  <c r="F14" i="21"/>
  <c r="E14" i="21"/>
  <c r="D14" i="21"/>
  <c r="C14" i="21"/>
  <c r="J13" i="21"/>
  <c r="I13" i="21"/>
  <c r="H13" i="21"/>
  <c r="G13" i="21"/>
  <c r="F13" i="21"/>
  <c r="E13" i="21"/>
  <c r="D13" i="21"/>
  <c r="C13" i="21"/>
  <c r="H14" i="22"/>
  <c r="G14" i="22"/>
  <c r="F14" i="22"/>
  <c r="E14" i="22"/>
  <c r="D14" i="22"/>
  <c r="C14" i="22"/>
  <c r="H13" i="22"/>
  <c r="G13" i="22"/>
  <c r="F13" i="22"/>
  <c r="E13" i="22"/>
  <c r="D13" i="22"/>
  <c r="C13" i="22"/>
  <c r="J14" i="23"/>
  <c r="I14" i="23"/>
  <c r="H14" i="23"/>
  <c r="G14" i="23"/>
  <c r="F14" i="23"/>
  <c r="E14" i="23"/>
  <c r="D14" i="23"/>
  <c r="C14" i="23"/>
  <c r="J13" i="23"/>
  <c r="I13" i="23"/>
  <c r="H13" i="23"/>
  <c r="G13" i="23"/>
  <c r="F13" i="23"/>
  <c r="E13" i="23"/>
  <c r="D13" i="23"/>
  <c r="C13" i="23"/>
  <c r="H14" i="24"/>
  <c r="G14" i="24"/>
  <c r="F14" i="24"/>
  <c r="E14" i="24"/>
  <c r="D14" i="24"/>
  <c r="C14" i="24"/>
  <c r="H13" i="24"/>
  <c r="G13" i="24"/>
  <c r="F13" i="24"/>
  <c r="E13" i="24"/>
  <c r="D13" i="24"/>
  <c r="C13" i="24"/>
  <c r="J14" i="25"/>
  <c r="I14" i="25"/>
  <c r="H14" i="25"/>
  <c r="G14" i="25"/>
  <c r="F14" i="25"/>
  <c r="E14" i="25"/>
  <c r="D14" i="25"/>
  <c r="C14" i="25"/>
  <c r="J13" i="25"/>
  <c r="I13" i="25"/>
  <c r="H13" i="25"/>
  <c r="G13" i="25"/>
  <c r="F13" i="25"/>
  <c r="E13" i="25"/>
  <c r="D13" i="25"/>
  <c r="C13" i="25"/>
  <c r="J14" i="26"/>
  <c r="I14" i="26"/>
  <c r="H14" i="26"/>
  <c r="G14" i="26"/>
  <c r="F14" i="26"/>
  <c r="E14" i="26"/>
  <c r="D14" i="26"/>
  <c r="C14" i="26"/>
  <c r="J13" i="26"/>
  <c r="I13" i="26"/>
  <c r="H13" i="26"/>
  <c r="G13" i="26"/>
  <c r="F13" i="26"/>
  <c r="E13" i="26"/>
  <c r="D13" i="26"/>
  <c r="C13" i="26"/>
  <c r="I14" i="27"/>
  <c r="H14" i="27"/>
  <c r="G14" i="27"/>
  <c r="F14" i="27"/>
  <c r="E14" i="27"/>
  <c r="D14" i="27"/>
  <c r="C14" i="27"/>
  <c r="I13" i="27"/>
  <c r="H13" i="27"/>
  <c r="G13" i="27"/>
  <c r="F13" i="27"/>
  <c r="E13" i="27"/>
  <c r="D13" i="27"/>
  <c r="C13" i="27"/>
  <c r="I14" i="28"/>
  <c r="H14" i="28"/>
  <c r="G14" i="28"/>
  <c r="F14" i="28"/>
  <c r="E14" i="28"/>
  <c r="D14" i="28"/>
  <c r="C14" i="28"/>
  <c r="I13" i="28"/>
  <c r="H13" i="28"/>
  <c r="G13" i="28"/>
  <c r="F13" i="28"/>
  <c r="E13" i="28"/>
  <c r="D13" i="28"/>
  <c r="C13" i="28"/>
  <c r="J14" i="29"/>
  <c r="I14" i="29"/>
  <c r="H14" i="29"/>
  <c r="G14" i="29"/>
  <c r="F14" i="29"/>
  <c r="E14" i="29"/>
  <c r="D14" i="29"/>
  <c r="C14" i="29"/>
  <c r="J13" i="29"/>
  <c r="I13" i="29"/>
  <c r="H13" i="29"/>
  <c r="G13" i="29"/>
  <c r="F13" i="29"/>
  <c r="E13" i="29"/>
  <c r="D13" i="29"/>
  <c r="C13" i="29"/>
  <c r="N12" i="1"/>
  <c r="M12" i="1"/>
  <c r="L12" i="1"/>
  <c r="K12" i="1"/>
  <c r="J12" i="1"/>
  <c r="I12" i="1"/>
  <c r="H12" i="1"/>
  <c r="G12" i="1"/>
  <c r="F12" i="1"/>
  <c r="E12" i="1"/>
  <c r="D12" i="1"/>
  <c r="C12" i="1"/>
  <c r="J12" i="20"/>
  <c r="J11" i="20"/>
  <c r="J10" i="20"/>
  <c r="J9" i="20"/>
  <c r="J8" i="20"/>
  <c r="J7" i="20"/>
  <c r="J6" i="20"/>
  <c r="J5" i="20"/>
  <c r="J4" i="20"/>
  <c r="I12" i="23"/>
  <c r="I11" i="23"/>
  <c r="I10" i="23"/>
  <c r="I9" i="23"/>
  <c r="I8" i="23"/>
  <c r="I7" i="23"/>
  <c r="I6" i="23"/>
  <c r="I5" i="23"/>
  <c r="I4" i="23"/>
  <c r="J12" i="21"/>
  <c r="J11" i="21"/>
  <c r="J10" i="21"/>
  <c r="J9" i="21"/>
  <c r="J8" i="21"/>
  <c r="J7" i="21"/>
  <c r="J6" i="21"/>
  <c r="J5" i="21"/>
  <c r="J4" i="21"/>
  <c r="J12" i="19"/>
  <c r="I12" i="19"/>
  <c r="H12" i="19"/>
  <c r="G12" i="19"/>
  <c r="F12" i="19"/>
  <c r="E12" i="19"/>
  <c r="D12" i="19"/>
  <c r="J11" i="19"/>
  <c r="I11" i="19"/>
  <c r="H11" i="19"/>
  <c r="G11" i="19"/>
  <c r="F11" i="19"/>
  <c r="E11" i="19"/>
  <c r="D11" i="19"/>
  <c r="J10" i="19"/>
  <c r="I10" i="19"/>
  <c r="H10" i="19"/>
  <c r="G10" i="19"/>
  <c r="F10" i="19"/>
  <c r="E10" i="19"/>
  <c r="D10" i="19"/>
  <c r="J9" i="19"/>
  <c r="I9" i="19"/>
  <c r="H9" i="19"/>
  <c r="G9" i="19"/>
  <c r="F9" i="19"/>
  <c r="E9" i="19"/>
  <c r="D9" i="19"/>
  <c r="J8" i="19"/>
  <c r="I8" i="19"/>
  <c r="H8" i="19"/>
  <c r="G8" i="19"/>
  <c r="F8" i="19"/>
  <c r="E8" i="19"/>
  <c r="D8" i="19"/>
  <c r="J7" i="19"/>
  <c r="I7" i="19"/>
  <c r="H7" i="19"/>
  <c r="G7" i="19"/>
  <c r="F7" i="19"/>
  <c r="E7" i="19"/>
  <c r="D7" i="19"/>
  <c r="J6" i="19"/>
  <c r="I6" i="19"/>
  <c r="H6" i="19"/>
  <c r="G6" i="19"/>
  <c r="F6" i="19"/>
  <c r="E6" i="19"/>
  <c r="D6" i="19"/>
  <c r="J5" i="19"/>
  <c r="I5" i="19"/>
  <c r="H5" i="19"/>
  <c r="G5" i="19"/>
  <c r="F5" i="19"/>
  <c r="E5" i="19"/>
  <c r="D5" i="19"/>
  <c r="J4" i="19"/>
  <c r="I4" i="19"/>
  <c r="H4" i="19"/>
  <c r="G4" i="19"/>
  <c r="F4" i="19"/>
  <c r="E4" i="19"/>
  <c r="D4" i="19"/>
  <c r="K12" i="20"/>
  <c r="I12" i="20"/>
  <c r="H12" i="20"/>
  <c r="G12" i="20"/>
  <c r="F12" i="20"/>
  <c r="E12" i="20"/>
  <c r="D12" i="20"/>
  <c r="K11" i="20"/>
  <c r="I11" i="20"/>
  <c r="H11" i="20"/>
  <c r="G11" i="20"/>
  <c r="F11" i="20"/>
  <c r="E11" i="20"/>
  <c r="D11" i="20"/>
  <c r="K10" i="20"/>
  <c r="I10" i="20"/>
  <c r="H10" i="20"/>
  <c r="G10" i="20"/>
  <c r="F10" i="20"/>
  <c r="E10" i="20"/>
  <c r="D10" i="20"/>
  <c r="K9" i="20"/>
  <c r="I9" i="20"/>
  <c r="H9" i="20"/>
  <c r="G9" i="20"/>
  <c r="F9" i="20"/>
  <c r="E9" i="20"/>
  <c r="D9" i="20"/>
  <c r="K8" i="20"/>
  <c r="I8" i="20"/>
  <c r="H8" i="20"/>
  <c r="G8" i="20"/>
  <c r="F8" i="20"/>
  <c r="E8" i="20"/>
  <c r="D8" i="20"/>
  <c r="K7" i="20"/>
  <c r="I7" i="20"/>
  <c r="H7" i="20"/>
  <c r="G7" i="20"/>
  <c r="F7" i="20"/>
  <c r="E7" i="20"/>
  <c r="D7" i="20"/>
  <c r="K6" i="20"/>
  <c r="I6" i="20"/>
  <c r="H6" i="20"/>
  <c r="G6" i="20"/>
  <c r="F6" i="20"/>
  <c r="E6" i="20"/>
  <c r="D6" i="20"/>
  <c r="K5" i="20"/>
  <c r="I5" i="20"/>
  <c r="H5" i="20"/>
  <c r="G5" i="20"/>
  <c r="F5" i="20"/>
  <c r="E5" i="20"/>
  <c r="D5" i="20"/>
  <c r="K4" i="20"/>
  <c r="I4" i="20"/>
  <c r="H4" i="20"/>
  <c r="G4" i="20"/>
  <c r="F4" i="20"/>
  <c r="E4" i="20"/>
  <c r="D4" i="20"/>
  <c r="K12" i="21"/>
  <c r="I12" i="21"/>
  <c r="H12" i="21"/>
  <c r="G12" i="21"/>
  <c r="F12" i="21"/>
  <c r="E12" i="21"/>
  <c r="D12" i="21"/>
  <c r="K11" i="21"/>
  <c r="I11" i="21"/>
  <c r="H11" i="21"/>
  <c r="G11" i="21"/>
  <c r="F11" i="21"/>
  <c r="E11" i="21"/>
  <c r="D11" i="21"/>
  <c r="K10" i="21"/>
  <c r="I10" i="21"/>
  <c r="H10" i="21"/>
  <c r="G10" i="21"/>
  <c r="F10" i="21"/>
  <c r="E10" i="21"/>
  <c r="D10" i="21"/>
  <c r="K9" i="21"/>
  <c r="I9" i="21"/>
  <c r="H9" i="21"/>
  <c r="G9" i="21"/>
  <c r="F9" i="21"/>
  <c r="E9" i="21"/>
  <c r="D9" i="21"/>
  <c r="K8" i="21"/>
  <c r="I8" i="21"/>
  <c r="H8" i="21"/>
  <c r="G8" i="21"/>
  <c r="F8" i="21"/>
  <c r="E8" i="21"/>
  <c r="D8" i="21"/>
  <c r="K7" i="21"/>
  <c r="I7" i="21"/>
  <c r="H7" i="21"/>
  <c r="G7" i="21"/>
  <c r="F7" i="21"/>
  <c r="E7" i="21"/>
  <c r="D7" i="21"/>
  <c r="K6" i="21"/>
  <c r="I6" i="21"/>
  <c r="H6" i="21"/>
  <c r="G6" i="21"/>
  <c r="F6" i="21"/>
  <c r="E6" i="21"/>
  <c r="D6" i="21"/>
  <c r="K5" i="21"/>
  <c r="I5" i="21"/>
  <c r="H5" i="21"/>
  <c r="G5" i="21"/>
  <c r="F5" i="21"/>
  <c r="E5" i="21"/>
  <c r="D5" i="21"/>
  <c r="K4" i="21"/>
  <c r="I4" i="21"/>
  <c r="H4" i="21"/>
  <c r="G4" i="21"/>
  <c r="F4" i="21"/>
  <c r="E4" i="21"/>
  <c r="D4" i="21"/>
  <c r="H12" i="22"/>
  <c r="G12" i="22"/>
  <c r="F12" i="22"/>
  <c r="E12" i="22"/>
  <c r="D12" i="22"/>
  <c r="H11" i="22"/>
  <c r="G11" i="22"/>
  <c r="F11" i="22"/>
  <c r="E11" i="22"/>
  <c r="D11" i="22"/>
  <c r="H10" i="22"/>
  <c r="G10" i="22"/>
  <c r="F10" i="22"/>
  <c r="E10" i="22"/>
  <c r="D10" i="22"/>
  <c r="H9" i="22"/>
  <c r="G9" i="22"/>
  <c r="F9" i="22"/>
  <c r="E9" i="22"/>
  <c r="D9" i="22"/>
  <c r="H8" i="22"/>
  <c r="G8" i="22"/>
  <c r="F8" i="22"/>
  <c r="E8" i="22"/>
  <c r="D8" i="22"/>
  <c r="H7" i="22"/>
  <c r="G7" i="22"/>
  <c r="F7" i="22"/>
  <c r="E7" i="22"/>
  <c r="D7" i="22"/>
  <c r="H6" i="22"/>
  <c r="G6" i="22"/>
  <c r="F6" i="22"/>
  <c r="E6" i="22"/>
  <c r="D6" i="22"/>
  <c r="H5" i="22"/>
  <c r="G5" i="22"/>
  <c r="F5" i="22"/>
  <c r="E5" i="22"/>
  <c r="D5" i="22"/>
  <c r="H4" i="22"/>
  <c r="G4" i="22"/>
  <c r="F4" i="22"/>
  <c r="E4" i="22"/>
  <c r="D4" i="22"/>
  <c r="J12" i="23"/>
  <c r="H12" i="23"/>
  <c r="G12" i="23"/>
  <c r="F12" i="23"/>
  <c r="E12" i="23"/>
  <c r="D12" i="23"/>
  <c r="J11" i="23"/>
  <c r="H11" i="23"/>
  <c r="G11" i="23"/>
  <c r="F11" i="23"/>
  <c r="E11" i="23"/>
  <c r="D11" i="23"/>
  <c r="J10" i="23"/>
  <c r="H10" i="23"/>
  <c r="G10" i="23"/>
  <c r="F10" i="23"/>
  <c r="E10" i="23"/>
  <c r="D10" i="23"/>
  <c r="J9" i="23"/>
  <c r="H9" i="23"/>
  <c r="G9" i="23"/>
  <c r="F9" i="23"/>
  <c r="E9" i="23"/>
  <c r="D9" i="23"/>
  <c r="J8" i="23"/>
  <c r="H8" i="23"/>
  <c r="G8" i="23"/>
  <c r="F8" i="23"/>
  <c r="E8" i="23"/>
  <c r="D8" i="23"/>
  <c r="J7" i="23"/>
  <c r="H7" i="23"/>
  <c r="G7" i="23"/>
  <c r="F7" i="23"/>
  <c r="E7" i="23"/>
  <c r="D7" i="23"/>
  <c r="J6" i="23"/>
  <c r="H6" i="23"/>
  <c r="G6" i="23"/>
  <c r="F6" i="23"/>
  <c r="E6" i="23"/>
  <c r="D6" i="23"/>
  <c r="J5" i="23"/>
  <c r="H5" i="23"/>
  <c r="G5" i="23"/>
  <c r="F5" i="23"/>
  <c r="E5" i="23"/>
  <c r="D5" i="23"/>
  <c r="J4" i="23"/>
  <c r="H4" i="23"/>
  <c r="G4" i="23"/>
  <c r="F4" i="23"/>
  <c r="E4" i="23"/>
  <c r="D4" i="23"/>
  <c r="H12" i="24"/>
  <c r="G12" i="24"/>
  <c r="F12" i="24"/>
  <c r="E12" i="24"/>
  <c r="D12" i="24"/>
  <c r="H11" i="24"/>
  <c r="G11" i="24"/>
  <c r="F11" i="24"/>
  <c r="E11" i="24"/>
  <c r="D11" i="24"/>
  <c r="H10" i="24"/>
  <c r="G10" i="24"/>
  <c r="F10" i="24"/>
  <c r="E10" i="24"/>
  <c r="D10" i="24"/>
  <c r="H9" i="24"/>
  <c r="G9" i="24"/>
  <c r="F9" i="24"/>
  <c r="E9" i="24"/>
  <c r="D9" i="24"/>
  <c r="H8" i="24"/>
  <c r="G8" i="24"/>
  <c r="F8" i="24"/>
  <c r="E8" i="24"/>
  <c r="D8" i="24"/>
  <c r="H7" i="24"/>
  <c r="G7" i="24"/>
  <c r="F7" i="24"/>
  <c r="E7" i="24"/>
  <c r="D7" i="24"/>
  <c r="H6" i="24"/>
  <c r="G6" i="24"/>
  <c r="F6" i="24"/>
  <c r="E6" i="24"/>
  <c r="D6" i="24"/>
  <c r="H5" i="24"/>
  <c r="G5" i="24"/>
  <c r="F5" i="24"/>
  <c r="E5" i="24"/>
  <c r="D5" i="24"/>
  <c r="H4" i="24"/>
  <c r="G4" i="24"/>
  <c r="F4" i="24"/>
  <c r="E4" i="24"/>
  <c r="D4" i="24"/>
  <c r="K12" i="25"/>
  <c r="J12" i="25"/>
  <c r="I12" i="25"/>
  <c r="H12" i="25"/>
  <c r="G12" i="25"/>
  <c r="F12" i="25"/>
  <c r="E12" i="25"/>
  <c r="D12" i="25"/>
  <c r="K11" i="25"/>
  <c r="J11" i="25"/>
  <c r="I11" i="25"/>
  <c r="H11" i="25"/>
  <c r="G11" i="25"/>
  <c r="F11" i="25"/>
  <c r="E11" i="25"/>
  <c r="D11" i="25"/>
  <c r="K10" i="25"/>
  <c r="J10" i="25"/>
  <c r="I10" i="25"/>
  <c r="H10" i="25"/>
  <c r="G10" i="25"/>
  <c r="F10" i="25"/>
  <c r="E10" i="25"/>
  <c r="D10" i="25"/>
  <c r="K9" i="25"/>
  <c r="J9" i="25"/>
  <c r="I9" i="25"/>
  <c r="H9" i="25"/>
  <c r="G9" i="25"/>
  <c r="F9" i="25"/>
  <c r="E9" i="25"/>
  <c r="D9" i="25"/>
  <c r="K8" i="25"/>
  <c r="J8" i="25"/>
  <c r="I8" i="25"/>
  <c r="H8" i="25"/>
  <c r="G8" i="25"/>
  <c r="F8" i="25"/>
  <c r="E8" i="25"/>
  <c r="D8" i="25"/>
  <c r="K7" i="25"/>
  <c r="J7" i="25"/>
  <c r="I7" i="25"/>
  <c r="H7" i="25"/>
  <c r="G7" i="25"/>
  <c r="F7" i="25"/>
  <c r="E7" i="25"/>
  <c r="D7" i="25"/>
  <c r="K6" i="25"/>
  <c r="J6" i="25"/>
  <c r="I6" i="25"/>
  <c r="H6" i="25"/>
  <c r="G6" i="25"/>
  <c r="F6" i="25"/>
  <c r="E6" i="25"/>
  <c r="D6" i="25"/>
  <c r="K5" i="25"/>
  <c r="J5" i="25"/>
  <c r="I5" i="25"/>
  <c r="H5" i="25"/>
  <c r="G5" i="25"/>
  <c r="F5" i="25"/>
  <c r="E5" i="25"/>
  <c r="D5" i="25"/>
  <c r="K4" i="25"/>
  <c r="J4" i="25"/>
  <c r="I4" i="25"/>
  <c r="H4" i="25"/>
  <c r="G4" i="25"/>
  <c r="F4" i="25"/>
  <c r="E4" i="25"/>
  <c r="D4" i="25"/>
  <c r="K12" i="26"/>
  <c r="J12" i="26"/>
  <c r="I12" i="26"/>
  <c r="H12" i="26"/>
  <c r="G12" i="26"/>
  <c r="F12" i="26"/>
  <c r="E12" i="26"/>
  <c r="D12" i="26"/>
  <c r="K11" i="26"/>
  <c r="J11" i="26"/>
  <c r="I11" i="26"/>
  <c r="H11" i="26"/>
  <c r="G11" i="26"/>
  <c r="F11" i="26"/>
  <c r="E11" i="26"/>
  <c r="D11" i="26"/>
  <c r="K10" i="26"/>
  <c r="J10" i="26"/>
  <c r="I10" i="26"/>
  <c r="H10" i="26"/>
  <c r="G10" i="26"/>
  <c r="F10" i="26"/>
  <c r="E10" i="26"/>
  <c r="D10" i="26"/>
  <c r="K9" i="26"/>
  <c r="J9" i="26"/>
  <c r="I9" i="26"/>
  <c r="H9" i="26"/>
  <c r="G9" i="26"/>
  <c r="F9" i="26"/>
  <c r="E9" i="26"/>
  <c r="D9" i="26"/>
  <c r="K8" i="26"/>
  <c r="J8" i="26"/>
  <c r="I8" i="26"/>
  <c r="H8" i="26"/>
  <c r="G8" i="26"/>
  <c r="F8" i="26"/>
  <c r="E8" i="26"/>
  <c r="D8" i="26"/>
  <c r="K7" i="26"/>
  <c r="J7" i="26"/>
  <c r="I7" i="26"/>
  <c r="H7" i="26"/>
  <c r="G7" i="26"/>
  <c r="F7" i="26"/>
  <c r="E7" i="26"/>
  <c r="D7" i="26"/>
  <c r="K6" i="26"/>
  <c r="J6" i="26"/>
  <c r="I6" i="26"/>
  <c r="H6" i="26"/>
  <c r="G6" i="26"/>
  <c r="F6" i="26"/>
  <c r="E6" i="26"/>
  <c r="D6" i="26"/>
  <c r="K5" i="26"/>
  <c r="J5" i="26"/>
  <c r="I5" i="26"/>
  <c r="H5" i="26"/>
  <c r="G5" i="26"/>
  <c r="F5" i="26"/>
  <c r="E5" i="26"/>
  <c r="D5" i="26"/>
  <c r="K4" i="26"/>
  <c r="J4" i="26"/>
  <c r="I4" i="26"/>
  <c r="H4" i="26"/>
  <c r="G4" i="26"/>
  <c r="F4" i="26"/>
  <c r="E4" i="26"/>
  <c r="D4" i="26"/>
  <c r="I12" i="27"/>
  <c r="H12" i="27"/>
  <c r="G12" i="27"/>
  <c r="F12" i="27"/>
  <c r="E12" i="27"/>
  <c r="D12" i="27"/>
  <c r="C12" i="27"/>
  <c r="I11" i="27"/>
  <c r="H11" i="27"/>
  <c r="G11" i="27"/>
  <c r="F11" i="27"/>
  <c r="E11" i="27"/>
  <c r="D11" i="27"/>
  <c r="C11" i="27"/>
  <c r="I10" i="27"/>
  <c r="H10" i="27"/>
  <c r="G10" i="27"/>
  <c r="F10" i="27"/>
  <c r="E10" i="27"/>
  <c r="D10" i="27"/>
  <c r="C10" i="27"/>
  <c r="I9" i="27"/>
  <c r="H9" i="27"/>
  <c r="G9" i="27"/>
  <c r="F9" i="27"/>
  <c r="E9" i="27"/>
  <c r="D9" i="27"/>
  <c r="C9" i="27"/>
  <c r="I8" i="27"/>
  <c r="H8" i="27"/>
  <c r="G8" i="27"/>
  <c r="F8" i="27"/>
  <c r="E8" i="27"/>
  <c r="D8" i="27"/>
  <c r="C8" i="27"/>
  <c r="I7" i="27"/>
  <c r="H7" i="27"/>
  <c r="G7" i="27"/>
  <c r="F7" i="27"/>
  <c r="E7" i="27"/>
  <c r="D7" i="27"/>
  <c r="C7" i="27"/>
  <c r="I6" i="27"/>
  <c r="H6" i="27"/>
  <c r="G6" i="27"/>
  <c r="F6" i="27"/>
  <c r="E6" i="27"/>
  <c r="D6" i="27"/>
  <c r="C6" i="27"/>
  <c r="I5" i="27"/>
  <c r="H5" i="27"/>
  <c r="G5" i="27"/>
  <c r="F5" i="27"/>
  <c r="E5" i="27"/>
  <c r="D5" i="27"/>
  <c r="C5" i="27"/>
  <c r="I4" i="27"/>
  <c r="H4" i="27"/>
  <c r="G4" i="27"/>
  <c r="F4" i="27"/>
  <c r="E4" i="27"/>
  <c r="D4" i="27"/>
  <c r="C4" i="27"/>
  <c r="I12" i="28"/>
  <c r="H12" i="28"/>
  <c r="G12" i="28"/>
  <c r="F12" i="28"/>
  <c r="E12" i="28"/>
  <c r="D12" i="28"/>
  <c r="I11" i="28"/>
  <c r="H11" i="28"/>
  <c r="G11" i="28"/>
  <c r="F11" i="28"/>
  <c r="E11" i="28"/>
  <c r="D11" i="28"/>
  <c r="I10" i="28"/>
  <c r="H10" i="28"/>
  <c r="G10" i="28"/>
  <c r="F10" i="28"/>
  <c r="E10" i="28"/>
  <c r="D10" i="28"/>
  <c r="I9" i="28"/>
  <c r="H9" i="28"/>
  <c r="G9" i="28"/>
  <c r="F9" i="28"/>
  <c r="E9" i="28"/>
  <c r="D9" i="28"/>
  <c r="I8" i="28"/>
  <c r="H8" i="28"/>
  <c r="G8" i="28"/>
  <c r="F8" i="28"/>
  <c r="E8" i="28"/>
  <c r="D8" i="28"/>
  <c r="I7" i="28"/>
  <c r="H7" i="28"/>
  <c r="G7" i="28"/>
  <c r="F7" i="28"/>
  <c r="E7" i="28"/>
  <c r="D7" i="28"/>
  <c r="I6" i="28"/>
  <c r="H6" i="28"/>
  <c r="G6" i="28"/>
  <c r="F6" i="28"/>
  <c r="E6" i="28"/>
  <c r="D6" i="28"/>
  <c r="I5" i="28"/>
  <c r="H5" i="28"/>
  <c r="G5" i="28"/>
  <c r="F5" i="28"/>
  <c r="E5" i="28"/>
  <c r="D5" i="28"/>
  <c r="I4" i="28"/>
  <c r="H4" i="28"/>
  <c r="G4" i="28"/>
  <c r="F4" i="28"/>
  <c r="E4" i="28"/>
  <c r="D4" i="28"/>
  <c r="J12" i="29"/>
  <c r="I12" i="29"/>
  <c r="H12" i="29"/>
  <c r="G12" i="29"/>
  <c r="F12" i="29"/>
  <c r="E12" i="29"/>
  <c r="D12" i="29"/>
  <c r="J11" i="29"/>
  <c r="I11" i="29"/>
  <c r="H11" i="29"/>
  <c r="G11" i="29"/>
  <c r="F11" i="29"/>
  <c r="E11" i="29"/>
  <c r="D11" i="29"/>
  <c r="J10" i="29"/>
  <c r="I10" i="29"/>
  <c r="H10" i="29"/>
  <c r="G10" i="29"/>
  <c r="F10" i="29"/>
  <c r="E10" i="29"/>
  <c r="D10" i="29"/>
  <c r="J9" i="29"/>
  <c r="I9" i="29"/>
  <c r="H9" i="29"/>
  <c r="G9" i="29"/>
  <c r="F9" i="29"/>
  <c r="E9" i="29"/>
  <c r="D9" i="29"/>
  <c r="J8" i="29"/>
  <c r="I8" i="29"/>
  <c r="H8" i="29"/>
  <c r="G8" i="29"/>
  <c r="F8" i="29"/>
  <c r="E8" i="29"/>
  <c r="D8" i="29"/>
  <c r="J7" i="29"/>
  <c r="I7" i="29"/>
  <c r="H7" i="29"/>
  <c r="G7" i="29"/>
  <c r="F7" i="29"/>
  <c r="E7" i="29"/>
  <c r="D7" i="29"/>
  <c r="J6" i="29"/>
  <c r="I6" i="29"/>
  <c r="H6" i="29"/>
  <c r="G6" i="29"/>
  <c r="F6" i="29"/>
  <c r="E6" i="29"/>
  <c r="D6" i="29"/>
  <c r="J5" i="29"/>
  <c r="I5" i="29"/>
  <c r="H5" i="29"/>
  <c r="G5" i="29"/>
  <c r="F5" i="29"/>
  <c r="E5" i="29"/>
  <c r="D5" i="29"/>
  <c r="J4" i="29"/>
  <c r="I4" i="29"/>
  <c r="H4" i="29"/>
  <c r="G4" i="29"/>
  <c r="F4" i="29"/>
  <c r="E4" i="29"/>
  <c r="D4" i="29"/>
  <c r="C12" i="29"/>
  <c r="C11" i="29"/>
  <c r="C10" i="29"/>
  <c r="C9" i="29"/>
  <c r="C8" i="29"/>
  <c r="C7" i="29"/>
  <c r="C6" i="29"/>
  <c r="C5" i="29"/>
  <c r="C4" i="29"/>
  <c r="C12" i="28"/>
  <c r="C11" i="28"/>
  <c r="C10" i="28"/>
  <c r="C9" i="28"/>
  <c r="C8" i="28"/>
  <c r="C7" i="28"/>
  <c r="C6" i="28"/>
  <c r="C5" i="28"/>
  <c r="C4" i="28"/>
  <c r="C12" i="26"/>
  <c r="C11" i="26"/>
  <c r="C10" i="26"/>
  <c r="C9" i="26"/>
  <c r="C8" i="26"/>
  <c r="C7" i="26"/>
  <c r="C6" i="26"/>
  <c r="C5" i="26"/>
  <c r="C4" i="26"/>
  <c r="C12" i="25"/>
  <c r="C11" i="25"/>
  <c r="C10" i="25"/>
  <c r="C9" i="25"/>
  <c r="C8" i="25"/>
  <c r="C7" i="25"/>
  <c r="C6" i="25"/>
  <c r="C5" i="25"/>
  <c r="C4" i="25"/>
  <c r="C12" i="24"/>
  <c r="C11" i="24"/>
  <c r="C10" i="24"/>
  <c r="C9" i="24"/>
  <c r="C8" i="24"/>
  <c r="C7" i="24"/>
  <c r="C6" i="24"/>
  <c r="C5" i="24"/>
  <c r="C4" i="24"/>
  <c r="C12" i="23"/>
  <c r="C11" i="23"/>
  <c r="C10" i="23"/>
  <c r="C9" i="23"/>
  <c r="C8" i="23"/>
  <c r="C7" i="23"/>
  <c r="C6" i="23"/>
  <c r="C5" i="23"/>
  <c r="C4" i="23"/>
  <c r="C12" i="22"/>
  <c r="C11" i="22"/>
  <c r="C10" i="22"/>
  <c r="C9" i="22"/>
  <c r="C8" i="22"/>
  <c r="C7" i="22"/>
  <c r="C6" i="22"/>
  <c r="C5" i="22"/>
  <c r="C4" i="22"/>
  <c r="C12" i="21"/>
  <c r="C11" i="21"/>
  <c r="C10" i="21"/>
  <c r="C9" i="21"/>
  <c r="C8" i="21"/>
  <c r="C7" i="21"/>
  <c r="C6" i="21"/>
  <c r="C5" i="21"/>
  <c r="C4" i="21"/>
  <c r="C12" i="20"/>
  <c r="C11" i="20"/>
  <c r="C10" i="20"/>
  <c r="C9" i="20"/>
  <c r="C8" i="20"/>
  <c r="C7" i="20"/>
  <c r="C6" i="20"/>
  <c r="C5" i="20"/>
  <c r="C4" i="20"/>
  <c r="C12" i="19"/>
  <c r="C11" i="19"/>
  <c r="C10" i="19"/>
  <c r="C9" i="19"/>
  <c r="C8" i="19"/>
  <c r="C7" i="19"/>
  <c r="C6" i="19"/>
  <c r="C5" i="19"/>
  <c r="C4" i="19"/>
  <c r="K12" i="18"/>
  <c r="J12" i="18"/>
  <c r="I12" i="18"/>
  <c r="H12" i="18"/>
  <c r="G12" i="18"/>
  <c r="F12" i="18"/>
  <c r="E12" i="18"/>
  <c r="D12" i="18"/>
  <c r="K11" i="18"/>
  <c r="J11" i="18"/>
  <c r="I11" i="18"/>
  <c r="H11" i="18"/>
  <c r="G11" i="18"/>
  <c r="F11" i="18"/>
  <c r="E11" i="18"/>
  <c r="D11" i="18"/>
  <c r="K10" i="18"/>
  <c r="J10" i="18"/>
  <c r="I10" i="18"/>
  <c r="H10" i="18"/>
  <c r="G10" i="18"/>
  <c r="F10" i="18"/>
  <c r="E10" i="18"/>
  <c r="D10" i="18"/>
  <c r="K9" i="18"/>
  <c r="J9" i="18"/>
  <c r="I9" i="18"/>
  <c r="H9" i="18"/>
  <c r="G9" i="18"/>
  <c r="F9" i="18"/>
  <c r="E9" i="18"/>
  <c r="D9" i="18"/>
  <c r="K8" i="18"/>
  <c r="J8" i="18"/>
  <c r="I8" i="18"/>
  <c r="H8" i="18"/>
  <c r="G8" i="18"/>
  <c r="F8" i="18"/>
  <c r="E8" i="18"/>
  <c r="D8" i="18"/>
  <c r="K7" i="18"/>
  <c r="J7" i="18"/>
  <c r="I7" i="18"/>
  <c r="H7" i="18"/>
  <c r="G7" i="18"/>
  <c r="F7" i="18"/>
  <c r="E7" i="18"/>
  <c r="D7" i="18"/>
  <c r="K6" i="18"/>
  <c r="J6" i="18"/>
  <c r="I6" i="18"/>
  <c r="H6" i="18"/>
  <c r="G6" i="18"/>
  <c r="F6" i="18"/>
  <c r="E6" i="18"/>
  <c r="D6" i="18"/>
  <c r="K5" i="18"/>
  <c r="J5" i="18"/>
  <c r="I5" i="18"/>
  <c r="H5" i="18"/>
  <c r="G5" i="18"/>
  <c r="F5" i="18"/>
  <c r="E5" i="18"/>
  <c r="D5" i="18"/>
  <c r="K4" i="18"/>
  <c r="J4" i="18"/>
  <c r="I4" i="18"/>
  <c r="H4" i="18"/>
  <c r="G4" i="18"/>
  <c r="F4" i="18"/>
  <c r="E4" i="18"/>
  <c r="D4" i="18"/>
  <c r="C12" i="18"/>
  <c r="C11" i="18"/>
  <c r="C10" i="18"/>
  <c r="C9" i="18"/>
  <c r="C8" i="18"/>
  <c r="C7" i="18"/>
  <c r="C6" i="18"/>
  <c r="C5" i="18"/>
  <c r="C4" i="18"/>
  <c r="K12" i="17"/>
  <c r="J12" i="17"/>
  <c r="I12" i="17"/>
  <c r="H12" i="17"/>
  <c r="G12" i="17"/>
  <c r="F12" i="17"/>
  <c r="E12" i="17"/>
  <c r="D12" i="17"/>
  <c r="C12" i="17"/>
  <c r="K11" i="17"/>
  <c r="J11" i="17"/>
  <c r="I11" i="17"/>
  <c r="H11" i="17"/>
  <c r="G11" i="17"/>
  <c r="F11" i="17"/>
  <c r="E11" i="17"/>
  <c r="D11" i="17"/>
  <c r="C11" i="17"/>
  <c r="K10" i="17"/>
  <c r="J10" i="17"/>
  <c r="I10" i="17"/>
  <c r="H10" i="17"/>
  <c r="G10" i="17"/>
  <c r="F10" i="17"/>
  <c r="E10" i="17"/>
  <c r="D10" i="17"/>
  <c r="C10" i="17"/>
  <c r="K9" i="17"/>
  <c r="J9" i="17"/>
  <c r="I9" i="17"/>
  <c r="H9" i="17"/>
  <c r="G9" i="17"/>
  <c r="F9" i="17"/>
  <c r="E9" i="17"/>
  <c r="D9" i="17"/>
  <c r="C9" i="17"/>
  <c r="K8" i="17"/>
  <c r="J8" i="17"/>
  <c r="I8" i="17"/>
  <c r="H8" i="17"/>
  <c r="G8" i="17"/>
  <c r="F8" i="17"/>
  <c r="E8" i="17"/>
  <c r="D8" i="17"/>
  <c r="C8" i="17"/>
  <c r="K7" i="17"/>
  <c r="J7" i="17"/>
  <c r="I7" i="17"/>
  <c r="H7" i="17"/>
  <c r="G7" i="17"/>
  <c r="F7" i="17"/>
  <c r="E7" i="17"/>
  <c r="D7" i="17"/>
  <c r="C7" i="17"/>
  <c r="K6" i="17"/>
  <c r="J6" i="17"/>
  <c r="I6" i="17"/>
  <c r="H6" i="17"/>
  <c r="G6" i="17"/>
  <c r="F6" i="17"/>
  <c r="E6" i="17"/>
  <c r="D6" i="17"/>
  <c r="C6" i="17"/>
  <c r="K5" i="17"/>
  <c r="J5" i="17"/>
  <c r="I5" i="17"/>
  <c r="H5" i="17"/>
  <c r="G5" i="17"/>
  <c r="F5" i="17"/>
  <c r="E5" i="17"/>
  <c r="D5" i="17"/>
  <c r="C5" i="17"/>
  <c r="K4" i="17"/>
  <c r="J4" i="17"/>
  <c r="I4" i="17"/>
  <c r="H4" i="17"/>
  <c r="G4" i="17"/>
  <c r="F4" i="17"/>
  <c r="E4" i="17"/>
  <c r="D4" i="17"/>
  <c r="C4" i="17"/>
  <c r="K12" i="16"/>
  <c r="J12" i="16"/>
  <c r="I12" i="16"/>
  <c r="H12" i="16"/>
  <c r="G12" i="16"/>
  <c r="F12" i="16"/>
  <c r="E12" i="16"/>
  <c r="D12" i="16"/>
  <c r="K11" i="16"/>
  <c r="J11" i="16"/>
  <c r="I11" i="16"/>
  <c r="H11" i="16"/>
  <c r="G11" i="16"/>
  <c r="F11" i="16"/>
  <c r="E11" i="16"/>
  <c r="D11" i="16"/>
  <c r="K10" i="16"/>
  <c r="J10" i="16"/>
  <c r="I10" i="16"/>
  <c r="H10" i="16"/>
  <c r="G10" i="16"/>
  <c r="F10" i="16"/>
  <c r="E10" i="16"/>
  <c r="D10" i="16"/>
  <c r="K9" i="16"/>
  <c r="J9" i="16"/>
  <c r="I9" i="16"/>
  <c r="H9" i="16"/>
  <c r="G9" i="16"/>
  <c r="F9" i="16"/>
  <c r="E9" i="16"/>
  <c r="D9" i="16"/>
  <c r="K8" i="16"/>
  <c r="J8" i="16"/>
  <c r="I8" i="16"/>
  <c r="H8" i="16"/>
  <c r="G8" i="16"/>
  <c r="F8" i="16"/>
  <c r="E8" i="16"/>
  <c r="D8" i="16"/>
  <c r="K7" i="16"/>
  <c r="J7" i="16"/>
  <c r="I7" i="16"/>
  <c r="H7" i="16"/>
  <c r="G7" i="16"/>
  <c r="F7" i="16"/>
  <c r="E7" i="16"/>
  <c r="D7" i="16"/>
  <c r="K6" i="16"/>
  <c r="J6" i="16"/>
  <c r="I6" i="16"/>
  <c r="H6" i="16"/>
  <c r="G6" i="16"/>
  <c r="F6" i="16"/>
  <c r="E6" i="16"/>
  <c r="D6" i="16"/>
  <c r="K5" i="16"/>
  <c r="J5" i="16"/>
  <c r="I5" i="16"/>
  <c r="H5" i="16"/>
  <c r="G5" i="16"/>
  <c r="F5" i="16"/>
  <c r="E5" i="16"/>
  <c r="D5" i="16"/>
  <c r="C12" i="16"/>
  <c r="C11" i="16"/>
  <c r="C10" i="16"/>
  <c r="C9" i="16"/>
  <c r="C8" i="16"/>
  <c r="C7" i="16"/>
  <c r="C6" i="16"/>
  <c r="C5" i="16"/>
  <c r="K4" i="16"/>
  <c r="J4" i="16"/>
  <c r="I4" i="16"/>
  <c r="H4" i="16"/>
  <c r="G4" i="16"/>
  <c r="F4" i="16"/>
  <c r="E4" i="16"/>
  <c r="D4" i="16"/>
  <c r="C4" i="16"/>
  <c r="N4" i="1"/>
  <c r="M4" i="1"/>
  <c r="L4" i="1"/>
  <c r="K4" i="1"/>
  <c r="J4" i="1"/>
  <c r="I4" i="1"/>
  <c r="H4" i="1"/>
  <c r="G4" i="1"/>
  <c r="F4" i="1"/>
  <c r="E4" i="1"/>
  <c r="D4" i="1"/>
  <c r="C4" i="1"/>
  <c r="N11" i="1"/>
  <c r="M11" i="1"/>
  <c r="L11" i="1"/>
  <c r="K11" i="1"/>
  <c r="J11" i="1"/>
  <c r="I11" i="1"/>
  <c r="H11" i="1"/>
  <c r="G11" i="1"/>
  <c r="F11" i="1"/>
  <c r="E11" i="1"/>
  <c r="D11" i="1"/>
  <c r="C11" i="1"/>
  <c r="N10" i="1"/>
  <c r="M10" i="1"/>
  <c r="L10" i="1"/>
  <c r="K10" i="1"/>
  <c r="J10" i="1"/>
  <c r="I10" i="1"/>
  <c r="H10" i="1"/>
  <c r="G10" i="1"/>
  <c r="F10" i="1"/>
  <c r="E10" i="1"/>
  <c r="D10" i="1"/>
  <c r="C10" i="1"/>
  <c r="N9" i="1"/>
  <c r="M9" i="1"/>
  <c r="L9" i="1"/>
  <c r="K9" i="1"/>
  <c r="J9" i="1"/>
  <c r="I9" i="1"/>
  <c r="H9" i="1"/>
  <c r="G9" i="1"/>
  <c r="F9" i="1"/>
  <c r="E9" i="1"/>
  <c r="D9" i="1"/>
  <c r="C9" i="1"/>
  <c r="N8" i="1"/>
  <c r="M8" i="1"/>
  <c r="L8" i="1"/>
  <c r="K8" i="1"/>
  <c r="J8" i="1"/>
  <c r="I8" i="1"/>
  <c r="H8" i="1"/>
  <c r="G8" i="1"/>
  <c r="F8" i="1"/>
  <c r="E8" i="1"/>
  <c r="D8" i="1"/>
  <c r="C8" i="1"/>
  <c r="N7" i="1"/>
  <c r="M7" i="1"/>
  <c r="L7" i="1"/>
  <c r="K7" i="1"/>
  <c r="J7" i="1"/>
  <c r="I7" i="1"/>
  <c r="H7" i="1"/>
  <c r="G7" i="1"/>
  <c r="F7" i="1"/>
  <c r="E7" i="1"/>
  <c r="D7" i="1"/>
  <c r="C7" i="1"/>
  <c r="N6" i="1"/>
  <c r="M6" i="1"/>
  <c r="L6" i="1"/>
  <c r="K6" i="1"/>
  <c r="J6" i="1"/>
  <c r="I6" i="1"/>
  <c r="H6" i="1"/>
  <c r="G6" i="1"/>
  <c r="F6" i="1"/>
  <c r="E6" i="1"/>
  <c r="D6" i="1"/>
  <c r="C6" i="1"/>
  <c r="N5" i="1"/>
  <c r="M5" i="1"/>
  <c r="L5" i="1"/>
  <c r="K5" i="1"/>
  <c r="J5" i="1"/>
  <c r="I5" i="1"/>
  <c r="H5" i="1"/>
  <c r="G5" i="1"/>
  <c r="F5" i="1"/>
  <c r="E5" i="1"/>
  <c r="D5" i="1"/>
  <c r="C5" i="1"/>
</calcChain>
</file>

<file path=xl/sharedStrings.xml><?xml version="1.0" encoding="utf-8"?>
<sst xmlns="http://schemas.openxmlformats.org/spreadsheetml/2006/main" count="803" uniqueCount="80">
  <si>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</si>
  <si>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</si>
  <si>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</si>
  <si>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</si>
  <si>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</si>
  <si>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</si>
  <si>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</si>
  <si>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</si>
  <si>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</si>
  <si>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</si>
  <si>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</si>
  <si>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</si>
  <si>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</si>
  <si>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</si>
  <si>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</si>
  <si>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</si>
  <si>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</si>
  <si>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</si>
  <si>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</si>
  <si>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</si>
  <si>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</si>
  <si>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</si>
  <si>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</si>
  <si>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</si>
  <si>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</si>
  <si>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</si>
  <si>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</si>
  <si>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</si>
  <si>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</si>
  <si>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</si>
  <si>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</si>
  <si>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</si>
  <si>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</si>
  <si>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</si>
  <si>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</si>
  <si>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</si>
  <si>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</si>
  <si>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</si>
  <si>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</si>
  <si>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</si>
  <si>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</si>
  <si>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</si>
  <si>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</si>
  <si>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</si>
  <si>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</si>
  <si>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</si>
  <si>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</si>
  <si>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</si>
  <si>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</si>
  <si>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</si>
  <si>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</si>
  <si>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</si>
  <si>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</si>
  <si>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</si>
  <si>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</si>
  <si>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</si>
  <si>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</si>
  <si>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</si>
  <si>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</si>
  <si>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</si>
  <si>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</si>
  <si>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</si>
  <si>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</si>
  <si>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</si>
  <si>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ESe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</si>
  <si>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</si>
  <si>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</si>
  <si>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Este distrito es interesante, especialmente con el supuesto tomado sobre incumbencia en el FA. Es probable que no hayan incumbencias por parte del FA en este caso, pero se incorporó igual a la espera de la definición que tomará Camila Rojas. La importancia recae en que hay escenarios en que no se asegurarían los 2 escaños.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</si>
  <si>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</si>
  <si>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</si>
  <si>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va como incumbente del FREVS, Marta Gonzalez como incumbente del PPD y Natalia Romero como incumbente de la UDI.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PPD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</si>
  <si>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</si>
  <si>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como incumbente. No se consideró a Mauricio Ojeda como incumbente por posible desafuero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</si>
  <si>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PS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</si>
  <si>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</si>
  <si>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</si>
  <si>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-El modelo se ajusto acotando el factor de incumbencia en 1,5 para aquellos partidos que tuviesen 2 o más incumbentes en un distrito, razón por la cual se denomina incumbencia corregida. En el caso de este distrito esta corrección si aplica al FA partido que cuenta con 3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</si>
  <si>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incumbente de RN, Cristobal Urriticoechea como incumbente del partido Republicano.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</si>
  <si>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t>Personalizado 3 CHV+</t>
  </si>
  <si>
    <t>Personalizado 3 CHV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</si>
</sst>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externalLink" Target="externalLinks/externalLink10.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7.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openxmlformats.org/officeDocument/2006/relationships/externalLink" Target="externalLinks/externalLink11.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6.png"/></Relationships>
</file>

<file path=xl/drawings/_rels/drawing9.xml.rels><?xml version="1.0" encoding="UTF-8" standalone="yes"?>
<Relationships xmlns="http://schemas.openxmlformats.org/package/2006/relationships"><Relationship Id="rId1" Type="http://schemas.openxmlformats.org/officeDocument/2006/relationships/image" Target="../media/image7.png"/></Relationships>
</file>

<file path=xl/drawings/_rels/drawing10.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9.png"/></Relationships>
</file>

<file path=xl/drawings/_rels/drawing13.xml.rels><?xml version="1.0" encoding="UTF-8" standalone="yes"?>
<Relationships xmlns="http://schemas.openxmlformats.org/package/2006/relationships"><Relationship Id="rId1" Type="http://schemas.openxmlformats.org/officeDocument/2006/relationships/image" Target="../media/image9.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239D1B26-4682-4E61-B799-9E0CE3C656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6451" y="5868213"/>
          <a:ext cx="4451349" cy="55253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6AD71DCA-7AB9-4A1D-A609-E1263D05A7D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868213"/>
          <a:ext cx="4448174" cy="55253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50078D4A-E12C-4352-B452-FCD204E48F5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868213"/>
          <a:ext cx="4451349" cy="5493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6E47EA48-2D5F-423D-AA41-62C93FCB33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9026" y="5868213"/>
          <a:ext cx="4444999" cy="5493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AAF11349-D434-406F-9163-798EE6E70A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5651" y="5868213"/>
          <a:ext cx="4451349" cy="55253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157B953C-43C1-4D2D-A9D8-19601C8C5ED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868213"/>
          <a:ext cx="4441824" cy="5493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3B45F6DD-6A94-4578-AD37-4D750057F8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5251" y="5868213"/>
          <a:ext cx="4451349" cy="5493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F9AE5277-13B7-493A-8D22-866E7F0ABB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726FF3FF-3F6C-4242-9402-4EEC9DB7DEA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1038225</xdr:colOff>
      <xdr:row>25</xdr:row>
      <xdr:rowOff>15875</xdr:rowOff>
    </xdr:from>
    <xdr:to>
      <xdr:col>10</xdr:col>
      <xdr:colOff>323850</xdr:colOff>
      <xdr:row>27</xdr:row>
      <xdr:rowOff>162512</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71575" y="5457825"/>
          <a:ext cx="3984625" cy="5181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273050</xdr:colOff>
      <xdr:row>29</xdr:row>
      <xdr:rowOff>103806</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82551</xdr:colOff>
      <xdr:row>25</xdr:row>
      <xdr:rowOff>120651</xdr:rowOff>
    </xdr:from>
    <xdr:to>
      <xdr:col>9</xdr:col>
      <xdr:colOff>295276</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1" y="5311776"/>
          <a:ext cx="4584700" cy="58977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66675</xdr:colOff>
      <xdr:row>25</xdr:row>
      <xdr:rowOff>123825</xdr:rowOff>
    </xdr:from>
    <xdr:to>
      <xdr:col>9</xdr:col>
      <xdr:colOff>330200</xdr:colOff>
      <xdr:row>28</xdr:row>
      <xdr:rowOff>164324</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6700" y="6181725"/>
          <a:ext cx="4578350"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106642</xdr:colOff>
      <xdr:row>28</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179667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8</xdr:col>
      <xdr:colOff>27267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215900</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9</xdr:col>
      <xdr:colOff>63500</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art.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s.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Mun.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3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3_CHV1.csv"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3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3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1</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2</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2</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0</v>
          </cell>
          <cell r="M12">
            <v>0</v>
          </cell>
          <cell r="N12">
            <v>0</v>
          </cell>
          <cell r="O12">
            <v>0</v>
          </cell>
          <cell r="P12">
            <v>0</v>
          </cell>
          <cell r="Q12">
            <v>0</v>
          </cell>
          <cell r="R12">
            <v>0</v>
          </cell>
          <cell r="S12">
            <v>1</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ECAB-FB20-46F5-B407-265A1B6AF463}">
  <dimension ref="B2:AI27"/>
  <sheetViews>
    <sheetView topLeftCell="AE1" workbookViewId="0">
      <selection activeCell="AE8" sqref="AE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 min="30" max="30" width="14.7265625" customWidth="1"/>
    <col min="31" max="31" width="49.6328125" customWidth="1"/>
    <col min="34" max="34" width="14.7265625" customWidth="1"/>
    <col min="35" max="35" width="49.6328125" customWidth="1"/>
  </cols>
  <sheetData>
    <row r="2" spans="2:35" x14ac:dyDescent="0.35">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78</v>
      </c>
      <c r="AE3" s="31" t="s">
        <v>36</v>
      </c>
      <c r="AH3" s="31" t="s">
        <v>79</v>
      </c>
      <c r="AI3" s="31" t="s">
        <v>36</v>
      </c>
    </row>
    <row r="4" spans="2:35"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49" operator="equal">
      <formula>"p7"</formula>
    </cfRule>
    <cfRule type="cellIs" dxfId="140" priority="150" operator="equal">
      <formula>"p6"</formula>
    </cfRule>
    <cfRule type="cellIs" dxfId="139" priority="151" operator="equal">
      <formula>"p5"</formula>
    </cfRule>
    <cfRule type="cellIs" dxfId="138" priority="152" operator="equal">
      <formula>"p4"</formula>
    </cfRule>
    <cfRule type="cellIs" dxfId="137" priority="153" operator="equal">
      <formula>"p3"</formula>
    </cfRule>
    <cfRule type="cellIs" dxfId="136" priority="154" operator="equal">
      <formula>"p2"</formula>
    </cfRule>
    <cfRule type="cellIs" dxfId="135" priority="155" operator="equal">
      <formula>"p1"</formula>
    </cfRule>
  </conditionalFormatting>
  <conditionalFormatting sqref="F4:G27">
    <cfRule type="cellIs" dxfId="134" priority="107" operator="equal">
      <formula>"p7"</formula>
    </cfRule>
    <cfRule type="cellIs" dxfId="133" priority="108" operator="equal">
      <formula>"p6"</formula>
    </cfRule>
    <cfRule type="cellIs" dxfId="132" priority="109" operator="equal">
      <formula>"p5"</formula>
    </cfRule>
    <cfRule type="cellIs" dxfId="131" priority="110" operator="equal">
      <formula>"p4"</formula>
    </cfRule>
    <cfRule type="cellIs" dxfId="130" priority="111" operator="equal">
      <formula>"p3"</formula>
    </cfRule>
    <cfRule type="cellIs" dxfId="129" priority="112" operator="equal">
      <formula>"p2"</formula>
    </cfRule>
    <cfRule type="cellIs" dxfId="128" priority="113" operator="equal">
      <formula>"p1"</formula>
    </cfRule>
  </conditionalFormatting>
  <conditionalFormatting sqref="F5:G27">
    <cfRule type="cellIs" dxfId="127" priority="106" operator="equal">
      <formula>"p8"</formula>
    </cfRule>
  </conditionalFormatting>
  <conditionalFormatting sqref="J4:K4">
    <cfRule type="cellIs" dxfId="126" priority="142" operator="equal">
      <formula>"p7"</formula>
    </cfRule>
    <cfRule type="cellIs" dxfId="125" priority="143" operator="equal">
      <formula>"p6"</formula>
    </cfRule>
    <cfRule type="cellIs" dxfId="124" priority="144" operator="equal">
      <formula>"p5"</formula>
    </cfRule>
    <cfRule type="cellIs" dxfId="123" priority="145" operator="equal">
      <formula>"p4"</formula>
    </cfRule>
    <cfRule type="cellIs" dxfId="122" priority="146" operator="equal">
      <formula>"p3"</formula>
    </cfRule>
    <cfRule type="cellIs" dxfId="121" priority="147" operator="equal">
      <formula>"p2"</formula>
    </cfRule>
    <cfRule type="cellIs" dxfId="120" priority="148" operator="equal">
      <formula>"p1"</formula>
    </cfRule>
  </conditionalFormatting>
  <conditionalFormatting sqref="J5:K27 AD5:AE27">
    <cfRule type="cellIs" dxfId="119" priority="93" operator="equal">
      <formula>"p13"</formula>
    </cfRule>
    <cfRule type="cellIs" dxfId="118" priority="94" operator="equal">
      <formula>"p12"</formula>
    </cfRule>
    <cfRule type="cellIs" dxfId="117" priority="95" operator="equal">
      <formula>"p11"</formula>
    </cfRule>
    <cfRule type="cellIs" dxfId="116" priority="96" operator="equal">
      <formula>"p10"</formula>
    </cfRule>
    <cfRule type="cellIs" dxfId="115" priority="97" operator="equal">
      <formula>"p9"</formula>
    </cfRule>
  </conditionalFormatting>
  <conditionalFormatting sqref="K5:K27 AE5:AE27">
    <cfRule type="cellIs" dxfId="114" priority="98" operator="equal">
      <formula>"p8"</formula>
    </cfRule>
    <cfRule type="cellIs" dxfId="113" priority="99" operator="equal">
      <formula>"p7"</formula>
    </cfRule>
    <cfRule type="cellIs" dxfId="112" priority="100" operator="equal">
      <formula>"p6"</formula>
    </cfRule>
    <cfRule type="cellIs" dxfId="111" priority="101" operator="equal">
      <formula>"p5"</formula>
    </cfRule>
    <cfRule type="cellIs" dxfId="110" priority="102" operator="equal">
      <formula>"p4"</formula>
    </cfRule>
    <cfRule type="cellIs" dxfId="109" priority="103" operator="equal">
      <formula>"p3"</formula>
    </cfRule>
    <cfRule type="cellIs" dxfId="108" priority="104" operator="equal">
      <formula>"p2"</formula>
    </cfRule>
    <cfRule type="cellIs" dxfId="107" priority="105" operator="equal">
      <formula>"p1"</formula>
    </cfRule>
  </conditionalFormatting>
  <conditionalFormatting sqref="N4:O4">
    <cfRule type="cellIs" dxfId="106" priority="135" operator="equal">
      <formula>"p7"</formula>
    </cfRule>
    <cfRule type="cellIs" dxfId="105" priority="136" operator="equal">
      <formula>"p6"</formula>
    </cfRule>
    <cfRule type="cellIs" dxfId="104" priority="137" operator="equal">
      <formula>"p5"</formula>
    </cfRule>
    <cfRule type="cellIs" dxfId="103" priority="138" operator="equal">
      <formula>"p4"</formula>
    </cfRule>
    <cfRule type="cellIs" dxfId="102" priority="139" operator="equal">
      <formula>"p3"</formula>
    </cfRule>
    <cfRule type="cellIs" dxfId="101" priority="140" operator="equal">
      <formula>"p2"</formula>
    </cfRule>
    <cfRule type="cellIs" dxfId="100" priority="141" operator="equal">
      <formula>"p1"</formula>
    </cfRule>
  </conditionalFormatting>
  <conditionalFormatting sqref="N5:O27">
    <cfRule type="cellIs" dxfId="99" priority="80" operator="equal">
      <formula>"p13"</formula>
    </cfRule>
    <cfRule type="cellIs" dxfId="98" priority="81" operator="equal">
      <formula>"p12"</formula>
    </cfRule>
    <cfRule type="cellIs" dxfId="97" priority="82" operator="equal">
      <formula>"p11"</formula>
    </cfRule>
    <cfRule type="cellIs" dxfId="96" priority="83" operator="equal">
      <formula>"p10"</formula>
    </cfRule>
    <cfRule type="cellIs" dxfId="95" priority="84" operator="equal">
      <formula>"p9"</formula>
    </cfRule>
  </conditionalFormatting>
  <conditionalFormatting sqref="O5:O27">
    <cfRule type="cellIs" dxfId="94" priority="85" operator="equal">
      <formula>"p8"</formula>
    </cfRule>
    <cfRule type="cellIs" dxfId="93" priority="86" operator="equal">
      <formula>"p7"</formula>
    </cfRule>
    <cfRule type="cellIs" dxfId="92" priority="87" operator="equal">
      <formula>"p6"</formula>
    </cfRule>
    <cfRule type="cellIs" dxfId="91" priority="88" operator="equal">
      <formula>"p5"</formula>
    </cfRule>
    <cfRule type="cellIs" dxfId="90" priority="89" operator="equal">
      <formula>"p4"</formula>
    </cfRule>
    <cfRule type="cellIs" dxfId="89" priority="90" operator="equal">
      <formula>"p3"</formula>
    </cfRule>
    <cfRule type="cellIs" dxfId="88" priority="91" operator="equal">
      <formula>"p2"</formula>
    </cfRule>
    <cfRule type="cellIs" dxfId="87" priority="92" operator="equal">
      <formula>"p1"</formula>
    </cfRule>
  </conditionalFormatting>
  <conditionalFormatting sqref="R4:S4">
    <cfRule type="cellIs" dxfId="86" priority="128" operator="equal">
      <formula>"p7"</formula>
    </cfRule>
    <cfRule type="cellIs" dxfId="85" priority="129" operator="equal">
      <formula>"p6"</formula>
    </cfRule>
    <cfRule type="cellIs" dxfId="84" priority="130" operator="equal">
      <formula>"p5"</formula>
    </cfRule>
    <cfRule type="cellIs" dxfId="83" priority="131" operator="equal">
      <formula>"p4"</formula>
    </cfRule>
    <cfRule type="cellIs" dxfId="82" priority="132" operator="equal">
      <formula>"p3"</formula>
    </cfRule>
    <cfRule type="cellIs" dxfId="81" priority="133" operator="equal">
      <formula>"p2"</formula>
    </cfRule>
    <cfRule type="cellIs" dxfId="80" priority="134" operator="equal">
      <formula>"p1"</formula>
    </cfRule>
  </conditionalFormatting>
  <conditionalFormatting sqref="R5:S27">
    <cfRule type="cellIs" dxfId="79" priority="67" operator="equal">
      <formula>"p13"</formula>
    </cfRule>
    <cfRule type="cellIs" dxfId="78" priority="68" operator="equal">
      <formula>"p12"</formula>
    </cfRule>
    <cfRule type="cellIs" dxfId="77" priority="69" operator="equal">
      <formula>"p11"</formula>
    </cfRule>
    <cfRule type="cellIs" dxfId="76" priority="70" operator="equal">
      <formula>"p10"</formula>
    </cfRule>
    <cfRule type="cellIs" dxfId="75" priority="71" operator="equal">
      <formula>"p9"</formula>
    </cfRule>
  </conditionalFormatting>
  <conditionalFormatting sqref="S5:S27">
    <cfRule type="cellIs" dxfId="74" priority="72" operator="equal">
      <formula>"p8"</formula>
    </cfRule>
    <cfRule type="cellIs" dxfId="73" priority="73" operator="equal">
      <formula>"p7"</formula>
    </cfRule>
    <cfRule type="cellIs" dxfId="72" priority="74" operator="equal">
      <formula>"p6"</formula>
    </cfRule>
    <cfRule type="cellIs" dxfId="71" priority="75" operator="equal">
      <formula>"p5"</formula>
    </cfRule>
    <cfRule type="cellIs" dxfId="70" priority="76" operator="equal">
      <formula>"p4"</formula>
    </cfRule>
    <cfRule type="cellIs" dxfId="69" priority="77" operator="equal">
      <formula>"p3"</formula>
    </cfRule>
    <cfRule type="cellIs" dxfId="68" priority="78" operator="equal">
      <formula>"p2"</formula>
    </cfRule>
    <cfRule type="cellIs" dxfId="67" priority="79" operator="equal">
      <formula>"p1"</formula>
    </cfRule>
  </conditionalFormatting>
  <conditionalFormatting sqref="V4:W4">
    <cfRule type="cellIs" dxfId="66" priority="121" operator="equal">
      <formula>"p7"</formula>
    </cfRule>
    <cfRule type="cellIs" dxfId="65" priority="122" operator="equal">
      <formula>"p6"</formula>
    </cfRule>
    <cfRule type="cellIs" dxfId="64" priority="123" operator="equal">
      <formula>"p5"</formula>
    </cfRule>
    <cfRule type="cellIs" dxfId="63" priority="124" operator="equal">
      <formula>"p4"</formula>
    </cfRule>
    <cfRule type="cellIs" dxfId="62" priority="125" operator="equal">
      <formula>"p3"</formula>
    </cfRule>
    <cfRule type="cellIs" dxfId="61" priority="126" operator="equal">
      <formula>"p2"</formula>
    </cfRule>
    <cfRule type="cellIs" dxfId="60" priority="127" operator="equal">
      <formula>"p1"</formula>
    </cfRule>
  </conditionalFormatting>
  <conditionalFormatting sqref="V5:W27">
    <cfRule type="cellIs" dxfId="59" priority="54" operator="equal">
      <formula>"p13"</formula>
    </cfRule>
    <cfRule type="cellIs" dxfId="58" priority="55" operator="equal">
      <formula>"p12"</formula>
    </cfRule>
    <cfRule type="cellIs" dxfId="57" priority="56" operator="equal">
      <formula>"p11"</formula>
    </cfRule>
    <cfRule type="cellIs" dxfId="56" priority="57" operator="equal">
      <formula>"p10"</formula>
    </cfRule>
    <cfRule type="cellIs" dxfId="55" priority="58" operator="equal">
      <formula>"p9"</formula>
    </cfRule>
  </conditionalFormatting>
  <conditionalFormatting sqref="W5:W27">
    <cfRule type="cellIs" dxfId="54" priority="59" operator="equal">
      <formula>"p8"</formula>
    </cfRule>
    <cfRule type="cellIs" dxfId="53" priority="60" operator="equal">
      <formula>"p7"</formula>
    </cfRule>
    <cfRule type="cellIs" dxfId="52" priority="61" operator="equal">
      <formula>"p6"</formula>
    </cfRule>
    <cfRule type="cellIs" dxfId="51" priority="62" operator="equal">
      <formula>"p5"</formula>
    </cfRule>
    <cfRule type="cellIs" dxfId="50" priority="63" operator="equal">
      <formula>"p4"</formula>
    </cfRule>
    <cfRule type="cellIs" dxfId="49" priority="64" operator="equal">
      <formula>"p3"</formula>
    </cfRule>
    <cfRule type="cellIs" dxfId="48" priority="65" operator="equal">
      <formula>"p2"</formula>
    </cfRule>
    <cfRule type="cellIs" dxfId="47" priority="66" operator="equal">
      <formula>"p1"</formula>
    </cfRule>
  </conditionalFormatting>
  <conditionalFormatting sqref="Z4:AA4">
    <cfRule type="cellIs" dxfId="46" priority="114" operator="equal">
      <formula>"p7"</formula>
    </cfRule>
    <cfRule type="cellIs" dxfId="45" priority="115" operator="equal">
      <formula>"p6"</formula>
    </cfRule>
    <cfRule type="cellIs" dxfId="44" priority="116" operator="equal">
      <formula>"p5"</formula>
    </cfRule>
    <cfRule type="cellIs" dxfId="43" priority="117" operator="equal">
      <formula>"p4"</formula>
    </cfRule>
    <cfRule type="cellIs" dxfId="42" priority="118" operator="equal">
      <formula>"p3"</formula>
    </cfRule>
    <cfRule type="cellIs" dxfId="41" priority="119" operator="equal">
      <formula>"p2"</formula>
    </cfRule>
    <cfRule type="cellIs" dxfId="40" priority="120" operator="equal">
      <formula>"p1"</formula>
    </cfRule>
  </conditionalFormatting>
  <conditionalFormatting sqref="Z5:AA27">
    <cfRule type="cellIs" dxfId="39" priority="41" operator="equal">
      <formula>"p13"</formula>
    </cfRule>
    <cfRule type="cellIs" dxfId="38" priority="42" operator="equal">
      <formula>"p12"</formula>
    </cfRule>
    <cfRule type="cellIs" dxfId="37" priority="43" operator="equal">
      <formula>"p11"</formula>
    </cfRule>
    <cfRule type="cellIs" dxfId="36" priority="44" operator="equal">
      <formula>"p10"</formula>
    </cfRule>
    <cfRule type="cellIs" dxfId="35" priority="45" operator="equal">
      <formula>"p9"</formula>
    </cfRule>
  </conditionalFormatting>
  <conditionalFormatting sqref="AA5:AA27">
    <cfRule type="cellIs" dxfId="34" priority="46" operator="equal">
      <formula>"p8"</formula>
    </cfRule>
    <cfRule type="cellIs" dxfId="33" priority="47" operator="equal">
      <formula>"p7"</formula>
    </cfRule>
    <cfRule type="cellIs" dxfId="32" priority="48" operator="equal">
      <formula>"p6"</formula>
    </cfRule>
    <cfRule type="cellIs" dxfId="31" priority="49" operator="equal">
      <formula>"p5"</formula>
    </cfRule>
    <cfRule type="cellIs" dxfId="30" priority="50" operator="equal">
      <formula>"p4"</formula>
    </cfRule>
    <cfRule type="cellIs" dxfId="29" priority="51" operator="equal">
      <formula>"p3"</formula>
    </cfRule>
    <cfRule type="cellIs" dxfId="28" priority="52" operator="equal">
      <formula>"p2"</formula>
    </cfRule>
    <cfRule type="cellIs" dxfId="27" priority="53" operator="equal">
      <formula>"p1"</formula>
    </cfRule>
  </conditionalFormatting>
  <conditionalFormatting sqref="AD4:AE4">
    <cfRule type="cellIs" dxfId="26" priority="34" operator="equal">
      <formula>"p7"</formula>
    </cfRule>
    <cfRule type="cellIs" dxfId="25" priority="35" operator="equal">
      <formula>"p6"</formula>
    </cfRule>
    <cfRule type="cellIs" dxfId="24" priority="36" operator="equal">
      <formula>"p5"</formula>
    </cfRule>
    <cfRule type="cellIs" dxfId="23" priority="37" operator="equal">
      <formula>"p4"</formula>
    </cfRule>
    <cfRule type="cellIs" dxfId="22" priority="38" operator="equal">
      <formula>"p3"</formula>
    </cfRule>
    <cfRule type="cellIs" dxfId="21" priority="39" operator="equal">
      <formula>"p2"</formula>
    </cfRule>
    <cfRule type="cellIs" dxfId="20" priority="40" operator="equal">
      <formula>"p1"</formula>
    </cfRule>
  </conditionalFormatting>
  <conditionalFormatting sqref="AH4:AI4">
    <cfRule type="cellIs" dxfId="19" priority="14" operator="equal">
      <formula>"p7"</formula>
    </cfRule>
    <cfRule type="cellIs" dxfId="18" priority="15" operator="equal">
      <formula>"p6"</formula>
    </cfRule>
    <cfRule type="cellIs" dxfId="17" priority="16" operator="equal">
      <formula>"p5"</formula>
    </cfRule>
    <cfRule type="cellIs" dxfId="16" priority="17" operator="equal">
      <formula>"p4"</formula>
    </cfRule>
    <cfRule type="cellIs" dxfId="15" priority="18" operator="equal">
      <formula>"p3"</formula>
    </cfRule>
    <cfRule type="cellIs" dxfId="14" priority="19" operator="equal">
      <formula>"p2"</formula>
    </cfRule>
    <cfRule type="cellIs" dxfId="13" priority="20" operator="equal">
      <formula>"p1"</formula>
    </cfRule>
  </conditionalFormatting>
  <conditionalFormatting sqref="AH5:AI27">
    <cfRule type="cellIs" dxfId="12" priority="1" operator="equal">
      <formula>"p13"</formula>
    </cfRule>
    <cfRule type="cellIs" dxfId="11" priority="2" operator="equal">
      <formula>"p12"</formula>
    </cfRule>
    <cfRule type="cellIs" dxfId="10" priority="3" operator="equal">
      <formula>"p11"</formula>
    </cfRule>
    <cfRule type="cellIs" dxfId="9" priority="4" operator="equal">
      <formula>"p10"</formula>
    </cfRule>
    <cfRule type="cellIs" dxfId="8" priority="5" operator="equal">
      <formula>"p9"</formula>
    </cfRule>
  </conditionalFormatting>
  <conditionalFormatting sqref="AI5:AI27">
    <cfRule type="cellIs" dxfId="7" priority="6" operator="equal">
      <formula>"p8"</formula>
    </cfRule>
    <cfRule type="cellIs" dxfId="6" priority="7" operator="equal">
      <formula>"p7"</formula>
    </cfRule>
    <cfRule type="cellIs" dxfId="5" priority="8" operator="equal">
      <formula>"p6"</formula>
    </cfRule>
    <cfRule type="cellIs" dxfId="4" priority="9" operator="equal">
      <formula>"p5"</formula>
    </cfRule>
    <cfRule type="cellIs" dxfId="3" priority="10" operator="equal">
      <formula>"p4"</formula>
    </cfRule>
    <cfRule type="cellIs" dxfId="2" priority="11" operator="equal">
      <formula>"p3"</formula>
    </cfRule>
    <cfRule type="cellIs" dxfId="1" priority="12" operator="equal">
      <formula>"p2"</formula>
    </cfRule>
    <cfRule type="cellIs" dxfId="0" priority="13" operator="equal">
      <formula>"p1"</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workbookViewId="0">
      <selection activeCell="O3" sqref="O3:O14"/>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VLOOKUP($A$1,[2]resultados_integracion_partido_!$A$1:$AA$29,MATCH(C$2,[2]resultados_integracion_partido_!$A$1:$AA$1,0),FALSE)</f>
        <v>0</v>
      </c>
      <c r="D5" s="6">
        <f>VLOOKUP($A$1,[2]resultados_integracion_partido_!$A$1:$AA$29,MATCH(D$2,[2]resultados_integracion_partido_!$A$1:$AA$1,0),FALSE)</f>
        <v>1</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1</v>
      </c>
      <c r="L5" s="6">
        <f>VLOOKUP($A$1,[2]resultados_integracion_partido_!$A$1:$AA$29,MATCH(L$2,[2]resultados_integracion_partido_!$A$1:$AA$1,0),FALSE)</f>
        <v>0</v>
      </c>
      <c r="M5" s="6">
        <f>VLOOKUP($A$1,[2]resultados_integracion_partido_!$A$1:$AA$29,MATCH(M$2,[2]resultados_integracion_partido_!$A$1:$AA$1,0),FALSE)</f>
        <v>0</v>
      </c>
      <c r="N5" s="6">
        <f>VLOOKUP($A$1,[2]resultados_integracion_partido_!$A$1:$AA$29,MATCH(N$2,[2]resultados_integracion_partido_!$A$1:$AA$1,0),FALSE)</f>
        <v>0</v>
      </c>
    </row>
    <row r="6" spans="1:14"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0</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0</v>
      </c>
      <c r="J6" s="6">
        <f>VLOOKUP($A$1,[3]resultados_integracion_partido_!$A$1:$AA$29,MATCH(J$2,[3]resultados_integracion_partido_!$A$1:$AA$1,0),FALSE)</f>
        <v>0</v>
      </c>
      <c r="K6" s="6">
        <f>VLOOKUP($A$1,[3]resultados_integracion_partido_!$A$1:$AA$29,MATCH(K$2,[3]resultados_integracion_partido_!$A$1:$AA$1,0),FALSE)</f>
        <v>1</v>
      </c>
      <c r="L6" s="6">
        <f>VLOOKUP($A$1,[3]resultados_integracion_partido_!$A$1:$AA$29,MATCH(L$2,[3]resultados_integracion_partido_!$A$1:$AA$1,0),FALSE)</f>
        <v>1</v>
      </c>
      <c r="M6" s="6">
        <f>VLOOKUP($A$1,[3]resultados_integracion_partido_!$A$1:$AA$29,MATCH(M$2,[3]resultados_integracion_partido_!$A$1:$AA$1,0),FALSE)</f>
        <v>1</v>
      </c>
      <c r="N6" s="6">
        <f>VLOOKUP($A$1,[3]resultados_integracion_partido_!$A$1:$AA$29,MATCH(N$2,[3]resultados_integracion_partido_!$A$1:$AA$1,0),FALSE)</f>
        <v>0</v>
      </c>
    </row>
    <row r="7" spans="1:14"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c r="L7" s="6">
        <f>VLOOKUP($A$1,[4]resultados_integracion_partido_!$A$1:$AA$29,MATCH(L$2,[4]resultados_integracion_partido_!$A$1:$AA$1,0),FALSE)</f>
        <v>0</v>
      </c>
      <c r="M7" s="6">
        <f>VLOOKUP($A$1,[4]resultados_integracion_partido_!$A$1:$AA$29,MATCH(M$2,[4]resultados_integracion_partido_!$A$1:$AA$1,0),FALSE)</f>
        <v>1</v>
      </c>
      <c r="N7" s="6">
        <f>VLOOKUP($A$1,[4]resultados_integracion_partido_!$A$1:$AA$29,MATCH(N$2,[4]resultados_integracion_partido_!$A$1:$AA$1,0),FALSE)</f>
        <v>0</v>
      </c>
    </row>
    <row r="8" spans="1:14" x14ac:dyDescent="0.35">
      <c r="B8" s="1" t="s">
        <v>5</v>
      </c>
      <c r="C8" s="6">
        <f>VLOOKUP($A$1,[5]resultados_integracion_partido_!$A$1:$AA$29,MATCH(C$2,[5]resultados_integracion_partido_!$A$1:$AA$1,0),FALSE)</f>
        <v>0</v>
      </c>
      <c r="D8" s="6">
        <f>VLOOKUP($A$1,[5]resultados_integracion_partido_!$A$1:$AA$29,MATCH(D$2,[5]resultados_integracion_partido_!$A$1:$AA$1,0),FALSE)</f>
        <v>1</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c r="L8" s="6">
        <f>VLOOKUP($A$1,[5]resultados_integracion_partido_!$A$1:$AA$29,MATCH(L$2,[5]resultados_integracion_partido_!$A$1:$AA$1,0),FALSE)</f>
        <v>1</v>
      </c>
      <c r="M8" s="6">
        <f>VLOOKUP($A$1,[5]resultados_integracion_partido_!$A$1:$AA$29,MATCH(M$2,[5]resultados_integracion_partido_!$A$1:$AA$1,0),FALSE)</f>
        <v>0</v>
      </c>
      <c r="N8" s="6">
        <f>VLOOKUP($A$1,[5]resultados_integracion_partido_!$A$1:$AA$29,MATCH(N$2,[5]resultados_integracion_partido_!$A$1:$AA$1,0),FALSE)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1</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0</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1</v>
      </c>
      <c r="N12" s="6">
        <f>VLOOKUP($A$1,[9]resultados_integracion_partido_!$A$1:$AA$29,MATCH(N$2,[9]resultados_integracion_partido_!$A$1:$AA$1,0),FALSE)</f>
        <v>0</v>
      </c>
    </row>
    <row r="13" spans="1:14" x14ac:dyDescent="0.35">
      <c r="B13" s="1" t="s">
        <v>78</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1</v>
      </c>
      <c r="L13" s="6">
        <f>VLOOKUP($A$1,[10]resultados_integracion_partido_!$A$1:$AA$29,MATCH(L$2,[10]resultados_integracion_partido_!$A$1:$AA$1,0),FALSE)</f>
        <v>0</v>
      </c>
      <c r="M13" s="6">
        <f>VLOOKUP($A$1,[10]resultados_integracion_partido_!$A$1:$AA$29,MATCH(M$2,[10]resultados_integracion_partido_!$A$1:$AA$1,0),FALSE)</f>
        <v>1</v>
      </c>
      <c r="N13" s="6">
        <f>VLOOKUP($A$1,[10]resultados_integracion_partido_!$A$1:$AA$29,MATCH(N$2,[10]resultados_integracion_partido_!$A$1:$AA$1,0),FALSE)</f>
        <v>0</v>
      </c>
    </row>
    <row r="14" spans="1:14" x14ac:dyDescent="0.35">
      <c r="B14" s="1" t="s">
        <v>79</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1</v>
      </c>
      <c r="L14" s="6">
        <f>VLOOKUP($A$1,[11]resultados_integracion_partido_!$A$1:$AA$29,MATCH(L$2,[11]resultados_integracion_partido_!$A$1:$AA$1,0),FALSE)</f>
        <v>0</v>
      </c>
      <c r="M14" s="6">
        <f>VLOOKUP($A$1,[11]resultados_integracion_partido_!$A$1:$AA$29,MATCH(M$2,[11]resultados_integracion_partido_!$A$1:$AA$1,0),FALSE)</f>
        <v>1</v>
      </c>
      <c r="N14" s="6">
        <f>VLOOKUP($A$1,[11]resultados_integracion_partido_!$A$1:$AA$29,MATCH(N$2,[11]resultados_integracion_partido_!$A$1:$AA$1,0),FALSE)</f>
        <v>0</v>
      </c>
    </row>
    <row r="15" spans="1:14" ht="6.5" customHeight="1" thickBot="1" x14ac:dyDescent="0.4"/>
    <row r="16" spans="1:14" ht="14.5" customHeight="1" x14ac:dyDescent="0.35">
      <c r="B16" s="35" t="s">
        <v>64</v>
      </c>
      <c r="C16" s="36"/>
      <c r="D16" s="36"/>
      <c r="E16" s="36"/>
      <c r="F16" s="36"/>
      <c r="G16" s="36"/>
      <c r="H16" s="36"/>
      <c r="I16" s="36"/>
      <c r="J16" s="36"/>
      <c r="K16" s="36"/>
      <c r="L16" s="36"/>
      <c r="M16" s="36"/>
      <c r="N16" s="37"/>
    </row>
    <row r="17" spans="2:14" x14ac:dyDescent="0.35">
      <c r="B17" s="38"/>
      <c r="C17" s="39"/>
      <c r="D17" s="39"/>
      <c r="E17" s="39"/>
      <c r="F17" s="39"/>
      <c r="G17" s="39"/>
      <c r="H17" s="39"/>
      <c r="I17" s="39"/>
      <c r="J17" s="39"/>
      <c r="K17" s="39"/>
      <c r="L17" s="39"/>
      <c r="M17" s="39"/>
      <c r="N17" s="40"/>
    </row>
    <row r="18" spans="2:14" x14ac:dyDescent="0.35">
      <c r="B18" s="38"/>
      <c r="C18" s="39"/>
      <c r="D18" s="39"/>
      <c r="E18" s="39"/>
      <c r="F18" s="39"/>
      <c r="G18" s="39"/>
      <c r="H18" s="39"/>
      <c r="I18" s="39"/>
      <c r="J18" s="39"/>
      <c r="K18" s="39"/>
      <c r="L18" s="39"/>
      <c r="M18" s="39"/>
      <c r="N18" s="40"/>
    </row>
    <row r="19" spans="2:14" x14ac:dyDescent="0.35">
      <c r="B19" s="38"/>
      <c r="C19" s="39"/>
      <c r="D19" s="39"/>
      <c r="E19" s="39"/>
      <c r="F19" s="39"/>
      <c r="G19" s="39"/>
      <c r="H19" s="39"/>
      <c r="I19" s="39"/>
      <c r="J19" s="39"/>
      <c r="K19" s="39"/>
      <c r="L19" s="39"/>
      <c r="M19" s="39"/>
      <c r="N19" s="40"/>
    </row>
    <row r="20" spans="2:14" x14ac:dyDescent="0.35">
      <c r="B20" s="38"/>
      <c r="C20" s="39"/>
      <c r="D20" s="39"/>
      <c r="E20" s="39"/>
      <c r="F20" s="39"/>
      <c r="G20" s="39"/>
      <c r="H20" s="39"/>
      <c r="I20" s="39"/>
      <c r="J20" s="39"/>
      <c r="K20" s="39"/>
      <c r="L20" s="39"/>
      <c r="M20" s="39"/>
      <c r="N20" s="40"/>
    </row>
    <row r="21" spans="2:14" x14ac:dyDescent="0.35">
      <c r="B21" s="38"/>
      <c r="C21" s="39"/>
      <c r="D21" s="39"/>
      <c r="E21" s="39"/>
      <c r="F21" s="39"/>
      <c r="G21" s="39"/>
      <c r="H21" s="39"/>
      <c r="I21" s="39"/>
      <c r="J21" s="39"/>
      <c r="K21" s="39"/>
      <c r="L21" s="39"/>
      <c r="M21" s="39"/>
      <c r="N21" s="40"/>
    </row>
    <row r="22" spans="2:14" x14ac:dyDescent="0.35">
      <c r="B22" s="38"/>
      <c r="C22" s="39"/>
      <c r="D22" s="39"/>
      <c r="E22" s="39"/>
      <c r="F22" s="39"/>
      <c r="G22" s="39"/>
      <c r="H22" s="39"/>
      <c r="I22" s="39"/>
      <c r="J22" s="39"/>
      <c r="K22" s="39"/>
      <c r="L22" s="39"/>
      <c r="M22" s="39"/>
      <c r="N22" s="40"/>
    </row>
    <row r="23" spans="2:14" x14ac:dyDescent="0.35">
      <c r="B23" s="38"/>
      <c r="C23" s="39"/>
      <c r="D23" s="39"/>
      <c r="E23" s="39"/>
      <c r="F23" s="39"/>
      <c r="G23" s="39"/>
      <c r="H23" s="39"/>
      <c r="I23" s="39"/>
      <c r="J23" s="39"/>
      <c r="K23" s="39"/>
      <c r="L23" s="39"/>
      <c r="M23" s="39"/>
      <c r="N23" s="40"/>
    </row>
    <row r="24" spans="2:14" x14ac:dyDescent="0.35">
      <c r="B24" s="38"/>
      <c r="C24" s="39"/>
      <c r="D24" s="39"/>
      <c r="E24" s="39"/>
      <c r="F24" s="39"/>
      <c r="G24" s="39"/>
      <c r="H24" s="39"/>
      <c r="I24" s="39"/>
      <c r="J24" s="39"/>
      <c r="K24" s="39"/>
      <c r="L24" s="39"/>
      <c r="M24" s="39"/>
      <c r="N24" s="40"/>
    </row>
    <row r="25" spans="2:14" ht="131" customHeight="1" thickBot="1" x14ac:dyDescent="0.4">
      <c r="B25" s="41"/>
      <c r="C25" s="42"/>
      <c r="D25" s="42"/>
      <c r="E25" s="42"/>
      <c r="F25" s="42"/>
      <c r="G25" s="42"/>
      <c r="H25" s="42"/>
      <c r="I25" s="42"/>
      <c r="J25" s="42"/>
      <c r="K25" s="42"/>
      <c r="L25" s="42"/>
      <c r="M25" s="42"/>
      <c r="N25" s="43"/>
    </row>
  </sheetData>
  <mergeCells count="1">
    <mergeCell ref="B16:N25"/>
  </mergeCell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L3" sqref="L3:L14"/>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3" max="13" width="16.26953125" customWidth="1"/>
    <col min="14" max="14"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0</v>
      </c>
    </row>
    <row r="7" spans="1:11"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2</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1</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2</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78</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c r="K13" s="6">
        <f>VLOOKUP($A$1,[10]resultados_integracion_partido_!$A$1:$AA$29,MATCH(K$2,[10]resultados_integracion_partido_!$A$1:$AA$1,0),FALSE)</f>
        <v>0</v>
      </c>
    </row>
    <row r="14" spans="1:11" x14ac:dyDescent="0.35">
      <c r="B14" s="1" t="s">
        <v>79</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c r="K14" s="6">
        <f>VLOOKUP($A$1,[11]resultados_integracion_partido_!$A$1:$AA$29,MATCH(K$2,[11]resultados_integracion_partido_!$A$1:$AA$1,0),FALSE)</f>
        <v>0</v>
      </c>
    </row>
    <row r="15" spans="1:11" ht="15" thickBot="1" x14ac:dyDescent="0.4"/>
    <row r="16" spans="1:11" ht="14.5" customHeight="1" x14ac:dyDescent="0.35">
      <c r="B16" s="35" t="s">
        <v>65</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0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K25"/>
  <sheetViews>
    <sheetView showGridLines="0" workbookViewId="0">
      <selection activeCell="L3" sqref="L3:L14"/>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5.90625" bestFit="1" customWidth="1"/>
    <col min="13" max="13" width="16.26953125" customWidth="1"/>
    <col min="14" max="14" width="46" customWidth="1"/>
  </cols>
  <sheetData>
    <row r="1" spans="1:11" x14ac:dyDescent="0.35">
      <c r="A1" s="30">
        <v>6</v>
      </c>
    </row>
    <row r="2" spans="1:11" x14ac:dyDescent="0.35">
      <c r="B2" s="2" t="s">
        <v>0</v>
      </c>
      <c r="C2" s="2" t="s">
        <v>11</v>
      </c>
      <c r="D2" s="2" t="s">
        <v>14</v>
      </c>
      <c r="E2" s="2" t="s">
        <v>25</v>
      </c>
      <c r="F2" s="2" t="s">
        <v>22</v>
      </c>
      <c r="G2" s="2" t="s">
        <v>15</v>
      </c>
      <c r="H2" s="2" t="s">
        <v>23</v>
      </c>
      <c r="I2" s="2" t="s">
        <v>17</v>
      </c>
      <c r="J2" s="2" t="s">
        <v>60</v>
      </c>
      <c r="K2" s="2" t="s">
        <v>20</v>
      </c>
    </row>
    <row r="3" spans="1:11" x14ac:dyDescent="0.35">
      <c r="B3" s="1" t="s">
        <v>1</v>
      </c>
      <c r="C3" s="5">
        <v>2</v>
      </c>
      <c r="D3" s="5">
        <v>1</v>
      </c>
      <c r="E3" s="5">
        <v>1</v>
      </c>
      <c r="F3" s="5">
        <v>1</v>
      </c>
      <c r="G3" s="5">
        <v>2</v>
      </c>
      <c r="H3" s="5">
        <v>0</v>
      </c>
      <c r="I3" s="5">
        <v>0</v>
      </c>
      <c r="J3" s="5">
        <v>1</v>
      </c>
      <c r="K3" s="5">
        <v>0</v>
      </c>
    </row>
    <row r="4" spans="1:11"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4.6879642406291701E-2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2</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2</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2</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2</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2</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78</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2</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79</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2</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66</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98.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L3" sqref="L3:L14"/>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3</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78</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79</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67</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46"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K14"/>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x14ac:dyDescent="0.35">
      <c r="B13" s="1" t="s">
        <v>78</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79</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1</v>
      </c>
    </row>
    <row r="15" spans="1:10" ht="15" thickBot="1" x14ac:dyDescent="0.4"/>
    <row r="16" spans="1:10" ht="14.5" customHeight="1" x14ac:dyDescent="0.35">
      <c r="B16" s="35" t="s">
        <v>69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16.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L3" sqref="L3:L14"/>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1</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78</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79</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68</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16.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L3" sqref="L3:L14"/>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2</v>
      </c>
    </row>
    <row r="6" spans="1:11"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2</v>
      </c>
    </row>
    <row r="7" spans="1:11" x14ac:dyDescent="0.35">
      <c r="B7" s="1" t="s">
        <v>4</v>
      </c>
      <c r="C7" s="6">
        <f>VLOOKUP($A$1,[4]resultados_integracion_partido_!$A$1:$AA$29,MATCH(C$2,[4]resultados_integracion_partido_!$A$1:$AA$1,0),FALSE)</f>
        <v>3</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3</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3</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3</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3</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3</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78</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79</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76</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74"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36"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H25"/>
  <sheetViews>
    <sheetView showGridLines="0" zoomScaleNormal="100" workbookViewId="0">
      <selection activeCell="I3" sqref="I3"/>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10" max="10" width="16.26953125" customWidth="1"/>
    <col min="11" max="11" width="44.08984375" customWidth="1"/>
  </cols>
  <sheetData>
    <row r="1" spans="1:8" x14ac:dyDescent="0.35">
      <c r="A1" s="30">
        <v>13</v>
      </c>
    </row>
    <row r="2" spans="1:8" x14ac:dyDescent="0.35">
      <c r="B2" s="2" t="s">
        <v>0</v>
      </c>
      <c r="C2" s="2" t="s">
        <v>11</v>
      </c>
      <c r="D2" s="2" t="s">
        <v>22</v>
      </c>
      <c r="E2" s="2" t="s">
        <v>15</v>
      </c>
      <c r="F2" s="2" t="s">
        <v>23</v>
      </c>
      <c r="G2" s="2" t="s">
        <v>17</v>
      </c>
      <c r="H2" s="2" t="s">
        <v>60</v>
      </c>
    </row>
    <row r="3" spans="1:8" x14ac:dyDescent="0.35">
      <c r="B3" s="1" t="s">
        <v>1</v>
      </c>
      <c r="C3" s="5">
        <v>1</v>
      </c>
      <c r="D3" s="5">
        <v>1</v>
      </c>
      <c r="E3" s="5">
        <v>1</v>
      </c>
      <c r="F3" s="5">
        <v>1</v>
      </c>
      <c r="G3" s="5">
        <v>1</v>
      </c>
      <c r="H3" s="5">
        <v>0</v>
      </c>
    </row>
    <row r="4" spans="1:8" x14ac:dyDescent="0.35">
      <c r="B4" s="7" t="s">
        <v>29</v>
      </c>
      <c r="C4" s="8">
        <f>VLOOKUP($A$1,[1]resultados_proyectados_proporci!$A$1:$AA$29,MATCH(C$2,[1]resultados_proyectados_proporci!$A$1:$AA$1,0),FALSE)</f>
        <v>9.0066017788393002E-2</v>
      </c>
      <c r="D4" s="8">
        <f>VLOOKUP($A$1,[1]resultados_proyectados_proporci!$A$1:$AA$29,MATCH(D$2,[1]resultados_proyectados_proporci!$A$1:$AA$1,0),FALSE)</f>
        <v>8.1391535927221606E-2</v>
      </c>
      <c r="E4" s="8">
        <f>VLOOKUP($A$1,[1]resultados_proyectados_proporci!$A$1:$AA$29,MATCH(E$2,[1]resultados_proyectados_proporci!$A$1:$AA$1,0),FALSE)</f>
        <v>9.0351092923415893E-2</v>
      </c>
      <c r="F4" s="8">
        <f>VLOOKUP($A$1,[1]resultados_proyectados_proporci!$A$1:$AA$29,MATCH(F$2,[1]resultados_proyectados_proporci!$A$1:$AA$1,0),FALSE)</f>
        <v>4.5703230876148103E-2</v>
      </c>
      <c r="G4" s="8">
        <f>VLOOKUP($A$1,[1]resultados_proyectados_proporci!$A$1:$AA$29,MATCH(G$2,[1]resultados_proyectados_proporci!$A$1:$AA$1,0),FALSE)</f>
        <v>0.10105248853606499</v>
      </c>
      <c r="H4" s="8">
        <f>VLOOKUP($A$1,[1]resultados_proyectados_proporci!$A$1:$AA$29,MATCH(H$2,[1]resultados_proyectados_proporci!$A$1:$AA$1,0),FALSE)</f>
        <v>9.9342776262546797E-2</v>
      </c>
    </row>
    <row r="5" spans="1:8"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1</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row>
    <row r="7" spans="1:8"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row>
    <row r="8" spans="1:8"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row>
    <row r="11" spans="1:8" x14ac:dyDescent="0.35">
      <c r="B11" s="1" t="s">
        <v>33</v>
      </c>
      <c r="C11" s="6">
        <f>VLOOKUP($A$1,[8]resultados_integracion_partido_!$A$1:$AA$29,MATCH(C$2,[8]resultados_integracion_partido_!$A$1:$AA$1,0),FALSE)</f>
        <v>1</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row>
    <row r="12" spans="1:8"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row>
    <row r="13" spans="1:8" x14ac:dyDescent="0.35">
      <c r="B13" s="1" t="s">
        <v>78</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row>
    <row r="14" spans="1:8" x14ac:dyDescent="0.35">
      <c r="B14" s="1" t="s">
        <v>79</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row>
    <row r="15" spans="1:8" ht="15" thickBot="1" x14ac:dyDescent="0.4"/>
    <row r="16" spans="1:8" ht="14.5" customHeight="1" x14ac:dyDescent="0.35">
      <c r="B16" s="35" t="s">
        <v>68</v>
      </c>
      <c r="C16" s="36"/>
      <c r="D16" s="36"/>
      <c r="E16" s="36"/>
      <c r="F16" s="36"/>
      <c r="G16" s="36"/>
      <c r="H16" s="37"/>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x14ac:dyDescent="0.35">
      <c r="B20" s="38"/>
      <c r="C20" s="39"/>
      <c r="D20" s="39"/>
      <c r="E20" s="39"/>
      <c r="F20" s="39"/>
      <c r="G20" s="39"/>
      <c r="H20" s="40"/>
    </row>
    <row r="21" spans="2:8" x14ac:dyDescent="0.35">
      <c r="B21" s="38"/>
      <c r="C21" s="39"/>
      <c r="D21" s="39"/>
      <c r="E21" s="39"/>
      <c r="F21" s="39"/>
      <c r="G21" s="39"/>
      <c r="H21" s="40"/>
    </row>
    <row r="22" spans="2:8" ht="71" customHeight="1" x14ac:dyDescent="0.35">
      <c r="B22" s="38"/>
      <c r="C22" s="39"/>
      <c r="D22" s="39"/>
      <c r="E22" s="39"/>
      <c r="F22" s="39"/>
      <c r="G22" s="39"/>
      <c r="H22" s="40"/>
    </row>
    <row r="23" spans="2:8" x14ac:dyDescent="0.35">
      <c r="B23" s="38"/>
      <c r="C23" s="39"/>
      <c r="D23" s="39"/>
      <c r="E23" s="39"/>
      <c r="F23" s="39"/>
      <c r="G23" s="39"/>
      <c r="H23" s="40"/>
    </row>
    <row r="24" spans="2:8" x14ac:dyDescent="0.35">
      <c r="B24" s="38"/>
      <c r="C24" s="39"/>
      <c r="D24" s="39"/>
      <c r="E24" s="39"/>
      <c r="F24" s="39"/>
      <c r="G24" s="39"/>
      <c r="H24" s="40"/>
    </row>
    <row r="25" spans="2:8" ht="89" customHeight="1" thickBot="1" x14ac:dyDescent="0.4">
      <c r="B25" s="41"/>
      <c r="C25" s="42"/>
      <c r="D25" s="42"/>
      <c r="E25" s="42"/>
      <c r="F25" s="42"/>
      <c r="G25" s="42"/>
      <c r="H25" s="43"/>
    </row>
  </sheetData>
  <mergeCells count="1">
    <mergeCell ref="B16:H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H14" sqref="H14"/>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6.90625" bestFit="1" customWidth="1"/>
    <col min="9"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60</v>
      </c>
      <c r="I2" s="2" t="s">
        <v>21</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0.13311651453680101</v>
      </c>
      <c r="I4" s="8">
        <f>VLOOKUP($A$1,[1]resultados_proyectados_proporci!$A$1:$AA$29,MATCH(I$2,[1]resultados_proyectados_proporci!$A$1:$AA$1,0),FALSE)</f>
        <v>5.83091470378925E-2</v>
      </c>
      <c r="J4" s="8">
        <f>VLOOKUP($A$1,[1]resultados_proyectados_proporci!$A$1:$AA$29,MATCH(J$2,[1]resultados_proyectados_proporci!$A$1:$AA$1,0),FALSE)</f>
        <v>8.2508191738560901E-2</v>
      </c>
    </row>
    <row r="5" spans="1:10"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2</v>
      </c>
      <c r="I5" s="6">
        <f>VLOOKUP($A$1,[2]resultados_integracion_partido_!$A$1:$AA$29,MATCH(I$2,[2]resultados_integracion_partido_!$A$1:$AA$1,0),FALSE)</f>
        <v>0</v>
      </c>
      <c r="J5" s="6">
        <f>VLOOKUP($A$1,[2]resultados_integracion_partido_!$A$1:$AA$29,MATCH(J$2,[2]resultados_integracion_partido_!$A$1:$AA$1,0),FALSE)</f>
        <v>1</v>
      </c>
    </row>
    <row r="6" spans="1:10"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0</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0</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0</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0</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0</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row>
    <row r="13" spans="1:10" x14ac:dyDescent="0.35">
      <c r="B13" s="1" t="s">
        <v>78</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0</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79</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row>
    <row r="15" spans="1:10" ht="15" thickBot="1" x14ac:dyDescent="0.4"/>
    <row r="16" spans="1:10" ht="14.5" customHeight="1" x14ac:dyDescent="0.35">
      <c r="B16" s="35" t="s">
        <v>70</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41"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H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s>
  <sheetData>
    <row r="1" spans="1:8" x14ac:dyDescent="0.35">
      <c r="A1" s="30">
        <v>16</v>
      </c>
    </row>
    <row r="2" spans="1:8" x14ac:dyDescent="0.35">
      <c r="B2" s="2" t="s">
        <v>0</v>
      </c>
      <c r="C2" s="2" t="s">
        <v>11</v>
      </c>
      <c r="D2" s="2" t="s">
        <v>21</v>
      </c>
      <c r="E2" s="2" t="s">
        <v>22</v>
      </c>
      <c r="F2" s="2" t="s">
        <v>15</v>
      </c>
      <c r="G2" s="2" t="s">
        <v>23</v>
      </c>
      <c r="H2" s="2" t="s">
        <v>60</v>
      </c>
    </row>
    <row r="3" spans="1:8" x14ac:dyDescent="0.35">
      <c r="B3" s="1" t="s">
        <v>1</v>
      </c>
      <c r="C3" s="5">
        <v>1</v>
      </c>
      <c r="D3" s="5">
        <v>1</v>
      </c>
      <c r="E3" s="5">
        <v>0</v>
      </c>
      <c r="F3" s="5">
        <v>1</v>
      </c>
      <c r="G3" s="5">
        <v>1</v>
      </c>
      <c r="H3" s="5">
        <v>0</v>
      </c>
    </row>
    <row r="4" spans="1:8"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9.5258521600517301E-2</v>
      </c>
    </row>
    <row r="5" spans="1:8"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0</v>
      </c>
    </row>
    <row r="7" spans="1:8"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row>
    <row r="8" spans="1:8"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row>
    <row r="11" spans="1:8"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row>
    <row r="12" spans="1:8"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row>
    <row r="13" spans="1:8" x14ac:dyDescent="0.35">
      <c r="B13" s="1" t="s">
        <v>78</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0</v>
      </c>
    </row>
    <row r="14" spans="1:8" x14ac:dyDescent="0.35">
      <c r="B14" s="1" t="s">
        <v>79</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0</v>
      </c>
    </row>
    <row r="15" spans="1:8" ht="15" thickBot="1" x14ac:dyDescent="0.4"/>
    <row r="16" spans="1:8" ht="14.5" customHeight="1" x14ac:dyDescent="0.35">
      <c r="B16" s="35" t="s">
        <v>71</v>
      </c>
      <c r="C16" s="36"/>
      <c r="D16" s="36"/>
      <c r="E16" s="36"/>
      <c r="F16" s="36"/>
      <c r="G16" s="36"/>
      <c r="H16" s="37"/>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x14ac:dyDescent="0.35">
      <c r="B20" s="38"/>
      <c r="C20" s="39"/>
      <c r="D20" s="39"/>
      <c r="E20" s="39"/>
      <c r="F20" s="39"/>
      <c r="G20" s="39"/>
      <c r="H20" s="40"/>
    </row>
    <row r="21" spans="2:8" x14ac:dyDescent="0.35">
      <c r="B21" s="38"/>
      <c r="C21" s="39"/>
      <c r="D21" s="39"/>
      <c r="E21" s="39"/>
      <c r="F21" s="39"/>
      <c r="G21" s="39"/>
      <c r="H21" s="40"/>
    </row>
    <row r="22" spans="2:8" ht="87" customHeight="1" x14ac:dyDescent="0.35">
      <c r="B22" s="38"/>
      <c r="C22" s="39"/>
      <c r="D22" s="39"/>
      <c r="E22" s="39"/>
      <c r="F22" s="39"/>
      <c r="G22" s="39"/>
      <c r="H22" s="40"/>
    </row>
    <row r="23" spans="2:8" x14ac:dyDescent="0.35">
      <c r="B23" s="38"/>
      <c r="C23" s="39"/>
      <c r="D23" s="39"/>
      <c r="E23" s="39"/>
      <c r="F23" s="39"/>
      <c r="G23" s="39"/>
      <c r="H23" s="40"/>
    </row>
    <row r="24" spans="2:8" x14ac:dyDescent="0.35">
      <c r="B24" s="38"/>
      <c r="C24" s="39"/>
      <c r="D24" s="39"/>
      <c r="E24" s="39"/>
      <c r="F24" s="39"/>
      <c r="G24" s="39"/>
      <c r="H24" s="40"/>
    </row>
    <row r="25" spans="2:8" ht="74.5" customHeight="1" thickBot="1" x14ac:dyDescent="0.4">
      <c r="B25" s="41"/>
      <c r="C25" s="42"/>
      <c r="D25" s="42"/>
      <c r="E25" s="42"/>
      <c r="F25" s="42"/>
      <c r="G25" s="42"/>
      <c r="H25" s="43"/>
    </row>
  </sheetData>
  <mergeCells count="1">
    <mergeCell ref="B16:H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L4" sqref="L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0</v>
      </c>
    </row>
    <row r="7" spans="1:11"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78</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0</v>
      </c>
    </row>
    <row r="14" spans="1:11" x14ac:dyDescent="0.35">
      <c r="B14" s="1" t="s">
        <v>79</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0</v>
      </c>
    </row>
    <row r="15" spans="1:11" ht="15" thickBot="1" x14ac:dyDescent="0.4"/>
    <row r="16" spans="1:11" ht="14.5" customHeight="1" x14ac:dyDescent="0.35">
      <c r="B16" s="35" t="s">
        <v>77</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97.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workbookViewId="0">
      <selection activeCell="L6" sqref="L6"/>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0</v>
      </c>
      <c r="K6" s="6">
        <f>VLOOKUP($A$1,[3]resultados_integracion_partido_!$A$1:$AA$29,MATCH(K$2,[3]resultados_integracion_partido_!$A$1:$AA$1,0),FALSE)</f>
        <v>1</v>
      </c>
    </row>
    <row r="7" spans="1:11"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0</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x14ac:dyDescent="0.35">
      <c r="B13" s="1" t="s">
        <v>78</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79</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72</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69.5"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2.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row>
    <row r="6" spans="1:9"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78</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row>
    <row r="14" spans="1:9" x14ac:dyDescent="0.35">
      <c r="B14" s="1" t="s">
        <v>79</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73</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31"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2</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0</v>
      </c>
    </row>
    <row r="6" spans="1:9"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78</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79</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0</v>
      </c>
    </row>
    <row r="15" spans="1:9" ht="15" thickBot="1" x14ac:dyDescent="0.4"/>
    <row r="16" spans="1:9" ht="14.5" customHeight="1" x14ac:dyDescent="0.35">
      <c r="B16" s="35" t="s">
        <v>74</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12.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tabSelected="1" workbookViewId="0">
      <selection activeCell="M8" sqref="M8"/>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VLOOKUP($A$1,[1]resultados_proyectados_proporci!$A$1:$AA$29,MATCH(C$2,[1]resultados_proyectados_proporci!$A$1:$AA$1,0),FALSE)</f>
        <v>7.9236951022195995E-2</v>
      </c>
      <c r="D4" s="8">
        <f>VLOOKUP($A$1,[1]resultados_proyectados_proporci!$A$1:$AA$29,MATCH(D$2,[1]resultados_proyectados_proporci!$A$1:$AA$1,0),FALSE)</f>
        <v>3.6799651967663903E-2</v>
      </c>
      <c r="E4" s="8">
        <f>VLOOKUP($A$1,[1]resultados_proyectados_proporci!$A$1:$AA$29,MATCH(E$2,[1]resultados_proyectados_proporci!$A$1:$AA$1,0),FALSE)</f>
        <v>7.8366870182150807E-3</v>
      </c>
      <c r="F4" s="8">
        <f>VLOOKUP($A$1,[1]resultados_proyectados_proporci!$A$1:$AA$29,MATCH(F$2,[1]resultados_proyectados_proporci!$A$1:$AA$1,0),FALSE)</f>
        <v>0.100604586994675</v>
      </c>
      <c r="G4" s="8">
        <f>VLOOKUP($A$1,[1]resultados_proyectados_proporci!$A$1:$AA$29,MATCH(G$2,[1]resultados_proyectados_proporci!$A$1:$AA$1,0),FALSE)</f>
        <v>8.3374304605766905E-2</v>
      </c>
      <c r="H4" s="8">
        <f>VLOOKUP($A$1,[1]resultados_proyectados_proporci!$A$1:$AA$29,MATCH(H$2,[1]resultados_proyectados_proporci!$A$1:$AA$1,0),FALSE)</f>
        <v>8.44067806710945E-2</v>
      </c>
      <c r="I4" s="8">
        <f>VLOOKUP($A$1,[1]resultados_proyectados_proporci!$A$1:$AA$29,MATCH(I$2,[1]resultados_proyectados_proporci!$A$1:$AA$1,0),FALSE)</f>
        <v>0.100997911210038</v>
      </c>
      <c r="J4" s="8">
        <f>VLOOKUP($A$1,[1]resultados_proyectados_proporci!$A$1:$AA$29,MATCH(J$2,[1]resultados_proyectados_proporci!$A$1:$AA$1,0),FALSE)</f>
        <v>6.4700343562742596E-2</v>
      </c>
    </row>
    <row r="5" spans="1:10"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0</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row>
    <row r="6" spans="1:10"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row>
    <row r="7" spans="1:10"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row>
    <row r="8" spans="1:10"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x14ac:dyDescent="0.35">
      <c r="B13" s="1" t="s">
        <v>78</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row>
    <row r="14" spans="1:10" x14ac:dyDescent="0.35">
      <c r="B14" s="1" t="s">
        <v>79</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row>
    <row r="15" spans="1:10" ht="15" thickBot="1" x14ac:dyDescent="0.4"/>
    <row r="16" spans="1:10" ht="14.5" customHeight="1" x14ac:dyDescent="0.35">
      <c r="B16" s="35" t="s">
        <v>75</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40.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Resumen de Pactos</vt:lpstr>
      <vt:lpstr>D3</vt:lpstr>
      <vt:lpstr>D5</vt:lpstr>
      <vt:lpstr>D6</vt:lpstr>
      <vt:lpstr>D7</vt:lpstr>
      <vt:lpstr>D8</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2025-01-12T22:53:24Z</cp:lastPrinted>
  <dcterms:created xsi:type="dcterms:W3CDTF">2024-12-22T23:53:50Z</dcterms:created>
  <dcterms:modified xsi:type="dcterms:W3CDTF">2025-01-28T03:44:09Z</dcterms:modified>
</cp:coreProperties>
</file>