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Ivan\Desktop\Ivan\Laboral\EstrategiaSur\GitProjects\Proyeccion-electoral-congreso\Resultados\Entregable\"/>
    </mc:Choice>
  </mc:AlternateContent>
  <xr:revisionPtr revIDLastSave="0" documentId="13_ncr:1_{ED9F0B4B-E0C9-4ECF-ABD3-9730FC0D718E}" xr6:coauthVersionLast="47" xr6:coauthVersionMax="47" xr10:uidLastSave="{00000000-0000-0000-0000-000000000000}"/>
  <bookViews>
    <workbookView xWindow="-110" yWindow="-110" windowWidth="19420" windowHeight="11500" xr2:uid="{85AAF8D7-1A96-46DE-A921-B4694576F524}"/>
  </bookViews>
  <sheets>
    <sheet name="D3" sheetId="1" r:id="rId1"/>
    <sheet name="D5" sheetId="16" r:id="rId2"/>
    <sheet name="D6" sheetId="17" r:id="rId3"/>
    <sheet name="D7" sheetId="18" r:id="rId4"/>
    <sheet name="D8" sheetId="19" r:id="rId5"/>
    <sheet name="D9" sheetId="20" r:id="rId6"/>
    <sheet name="D10" sheetId="21" r:id="rId7"/>
    <sheet name="D13" sheetId="22" r:id="rId8"/>
    <sheet name="D15" sheetId="23" r:id="rId9"/>
    <sheet name="D16" sheetId="24" r:id="rId10"/>
    <sheet name="D21" sheetId="25" r:id="rId11"/>
    <sheet name="D23" sheetId="26" r:id="rId12"/>
    <sheet name="D24" sheetId="27" r:id="rId13"/>
    <sheet name="D26" sheetId="28" r:id="rId14"/>
    <sheet name="D28" sheetId="29"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1" l="1"/>
  <c r="M4" i="1"/>
  <c r="L4" i="1"/>
  <c r="K4" i="1"/>
  <c r="J4" i="1"/>
  <c r="I4" i="1"/>
  <c r="H4" i="1"/>
  <c r="G4" i="1"/>
  <c r="F4" i="1"/>
  <c r="E4" i="1"/>
  <c r="D4" i="1"/>
  <c r="C4" i="1"/>
  <c r="N12" i="1"/>
  <c r="M12" i="1"/>
  <c r="L12" i="1"/>
  <c r="K12" i="1"/>
  <c r="J12" i="1"/>
  <c r="I12" i="1"/>
  <c r="H12" i="1"/>
  <c r="G12" i="1"/>
  <c r="F12" i="1"/>
  <c r="E12" i="1"/>
  <c r="D12" i="1"/>
  <c r="C12" i="1"/>
  <c r="N11" i="1"/>
  <c r="M11" i="1"/>
  <c r="L11" i="1"/>
  <c r="K11" i="1"/>
  <c r="J11" i="1"/>
  <c r="I11" i="1"/>
  <c r="H11" i="1"/>
  <c r="G11" i="1"/>
  <c r="F11" i="1"/>
  <c r="E11" i="1"/>
  <c r="D11" i="1"/>
  <c r="C11" i="1"/>
  <c r="N10" i="1"/>
  <c r="M10" i="1"/>
  <c r="L10" i="1"/>
  <c r="K10" i="1"/>
  <c r="J10" i="1"/>
  <c r="I10" i="1"/>
  <c r="H10" i="1"/>
  <c r="G10" i="1"/>
  <c r="F10" i="1"/>
  <c r="E10" i="1"/>
  <c r="D10" i="1"/>
  <c r="C10" i="1"/>
  <c r="N9" i="1"/>
  <c r="M9" i="1"/>
  <c r="L9" i="1"/>
  <c r="K9" i="1"/>
  <c r="J9" i="1"/>
  <c r="I9" i="1"/>
  <c r="H9" i="1"/>
  <c r="G9" i="1"/>
  <c r="F9" i="1"/>
  <c r="E9" i="1"/>
  <c r="D9" i="1"/>
  <c r="C9" i="1"/>
  <c r="N8" i="1"/>
  <c r="M8" i="1"/>
  <c r="L8" i="1"/>
  <c r="K8" i="1"/>
  <c r="J8" i="1"/>
  <c r="I8" i="1"/>
  <c r="H8" i="1"/>
  <c r="G8" i="1"/>
  <c r="F8" i="1"/>
  <c r="E8" i="1"/>
  <c r="D8" i="1"/>
  <c r="C8" i="1"/>
  <c r="N7" i="1"/>
  <c r="M7" i="1"/>
  <c r="L7" i="1"/>
  <c r="K7" i="1"/>
  <c r="J7" i="1"/>
  <c r="I7" i="1"/>
  <c r="H7" i="1"/>
  <c r="G7" i="1"/>
  <c r="F7" i="1"/>
  <c r="E7" i="1"/>
  <c r="D7" i="1"/>
  <c r="C7" i="1"/>
  <c r="N6" i="1"/>
  <c r="M6" i="1"/>
  <c r="L6" i="1"/>
  <c r="K6" i="1"/>
  <c r="J6" i="1"/>
  <c r="I6" i="1"/>
  <c r="H6" i="1"/>
  <c r="G6" i="1"/>
  <c r="F6" i="1"/>
  <c r="E6" i="1"/>
  <c r="D6" i="1"/>
  <c r="C6" i="1"/>
  <c r="N5" i="1"/>
  <c r="M5" i="1"/>
  <c r="L5" i="1"/>
  <c r="K5" i="1"/>
  <c r="J5" i="1"/>
  <c r="I5" i="1"/>
  <c r="H5" i="1"/>
  <c r="G5" i="1"/>
  <c r="F5" i="1"/>
  <c r="E5" i="1"/>
  <c r="D5" i="1"/>
  <c r="C5" i="1"/>
</calcChain>
</file>

<file path=xl/sharedStrings.xml><?xml version="1.0" encoding="utf-8"?>
<sst xmlns="http://schemas.openxmlformats.org/spreadsheetml/2006/main" count="406" uniqueCount="53">
  <si>
    <t>Esc</t>
  </si>
  <si>
    <t>Actual</t>
  </si>
  <si>
    <t>Partidos</t>
  </si>
  <si>
    <t>Convencion</t>
  </si>
  <si>
    <t>Consejo</t>
  </si>
  <si>
    <t>Municipal</t>
  </si>
  <si>
    <t>Escenario</t>
  </si>
  <si>
    <t>Descripción</t>
  </si>
  <si>
    <t>Convención</t>
  </si>
  <si>
    <t>No hay pactos, finalmente cada partido representa un pacto por si solo</t>
  </si>
  <si>
    <t>Mismos pactos del consejo. Aquellos partidos que no participaron de esta elección fueron distribuidos en pactos aparte</t>
  </si>
  <si>
    <t>Pactos a concejales de la última elección municipal.</t>
  </si>
  <si>
    <t>FA</t>
  </si>
  <si>
    <t>FREVS</t>
  </si>
  <si>
    <t>PSC</t>
  </si>
  <si>
    <t>PPD</t>
  </si>
  <si>
    <t>RN</t>
  </si>
  <si>
    <t>PL</t>
  </si>
  <si>
    <t>PCCH</t>
  </si>
  <si>
    <t>PDG</t>
  </si>
  <si>
    <t>REPUBLICANO</t>
  </si>
  <si>
    <t>PDC</t>
  </si>
  <si>
    <t>PR</t>
  </si>
  <si>
    <t>PS</t>
  </si>
  <si>
    <t>UDI</t>
  </si>
  <si>
    <t>DEMOCRATAS</t>
  </si>
  <si>
    <t>IND</t>
  </si>
  <si>
    <t>EVOPOLI</t>
  </si>
  <si>
    <t>DEMOCRATA</t>
  </si>
  <si>
    <t>AMARILLOS</t>
  </si>
  <si>
    <t>Simulacion</t>
  </si>
  <si>
    <t>Simulación</t>
  </si>
  <si>
    <t>Mismos pactos de la convención. Para aquellos partidos no constituidos en su época se tomaron supuestos de acuerdo a los candidatos que se llevaron en cada pacto. Por ejemplo, Republicanos va dentro de CHV y Amarillos y Democratas dentro de SD</t>
  </si>
  <si>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asumió el supuesto de que Catalina Pérez buscará la reelección por el partido FREVS. Dado que el modelo considera un aumento en la votación de los partidos en territorios donde compite un candidato incumbente, este escenario probablemente influyó en un incremento de la votación del FREVS en desmedro del Frente Amplio.
- El caso de Yovana Ahumadaes otro caso relevante para analizar. En el modelo, se consideró a Ahumada como incumbente del Partido Socialcristiano (PSC) en lugar de como parte del Partido de la Gente (PDG). Se destaca que en algunos escenarios, el PDG le quitó el cupo, donde el modelo sugiere que el PDG mantiene una fortaleza en el distrito más allá de los personalismos. Sin embargo, la falta de alianzas del PDG en los demás escenarios lo relega de la posibilidad de integrar un escaño.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</si>
  <si>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considera a Carolina Tello como incumbente del Frente Amplio.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 la UDI partido que cuenta con 2 incumbencias bajando su votacion.</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</si>
  <si>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Gaspar Rivas se asumió como independiente, pero no se asocio la incumbencia a ningún partido en particular.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</si>
  <si>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Tomas Lagomarsino se lo incluye como incumbente del Partido Radical y a Hotuiti Teao como incumbente de Evopoli.
</t>
    </r>
    <r>
      <rPr>
        <b/>
        <sz val="11"/>
        <color theme="1"/>
        <rFont val="Aptos Narrow"/>
        <family val="2"/>
        <scheme val="minor"/>
      </rPr>
      <t>- El modelo se ajusto acotando el factor de incumbencia en 1,5 para aquellos partidos que tuviesen 2 o más incumbentes en un distrito, razón por la cual se denomina incumbencia corregida. Este distrito es interesante, especialmente con el supuesto tomado sobre incumbencia en el FA. Es probable que no hayan incumbencias por parte del FA en este caso, pero se incorporó igual a la espera de la definición que tomará Camila Rojas. La importancia recae en que hay escenarios en que no se asegurarían los 2 escaños.</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</si>
  <si>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Ruben Oyarzo se lo incluye como incumbente del Renovación Nacional y a Viviana Delgado como incumbente de Evopoli.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</si>
  <si>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</si>
  <si>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Este distrito representa un caso límite para el modelo, generando tensiones en sus bordes. Según los resultados, el modelo sugiere que el Frente Amplio (FA) podría obtener hasta 4 de los 8 escaños disponibles. No obstante, el modelo fue ajustado y restringido a considerar solo 2 incumbencias del FA, a pesar de que podrían ser 3. En simulaciones de prueba adicionales, el número de escaños proyectados para el FA osciló entre 3 y 4, producto de lo mencionado en el punto anterior.
</t>
    </r>
    <r>
      <rPr>
        <b/>
        <sz val="11"/>
        <color theme="1"/>
        <rFont val="Aptos Narrow"/>
        <family val="2"/>
        <scheme val="minor"/>
      </rPr>
      <t>-El modelo se ajusto acotando el factor de incumbencia en 1,5 para aquellos partidos que tuviesen 2 o más incumbentes en un distrito, razón por la cual se denomina incumbencia corregida. En el caso de este distrito esta corrección si aplica al FA partido que cuenta con 3 incumbencias bajando su votacion.</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</si>
  <si>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Marcela Riquelme va como incumbente del FREVS, Marta Gonzalez como incumbente del PPD y Natalia Romero como incumbente de la UDI.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al PPD partido que cuenta con 2 incumbencias bajando su votacion.</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</si>
  <si>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</si>
  <si>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Karen Medina como incumbente del Partido Socialcristiano, Cristobal Urriticoechea como incumbente del partido Republicano.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</si>
  <si>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considero a Sthepah Schubert como incumbente. No se consideró a Mauricio Ojeda como incumbente por posible desafuero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</si>
  <si>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Bernardo Berger como Independiente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al PS partido que cuenta con 2 incumbencias bajando su votacion.</t>
    </r>
    <r>
      <rPr>
        <sz val="11"/>
        <color theme="1"/>
        <rFont val="Aptos Narrow"/>
        <family val="2"/>
        <scheme val="minor"/>
      </rPr>
      <t xml:space="preserv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</si>
  <si>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 la UDI partido que cuenta con 2 incumbencias bajando su votacion.</t>
    </r>
    <r>
      <rPr>
        <sz val="11"/>
        <color theme="1"/>
        <rFont val="Aptos Narrow"/>
        <family val="2"/>
        <scheme val="minor"/>
      </rPr>
      <t xml:space="preserv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</si>
  <si>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Carlos Bianchi se considera como Independiente y Christian Matheson como Evopoli
- Hay que estar atentos a la definición que tome Bianchi. El modelo no fue capaz de predecir la votación de su figura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</si>
  <si>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t>Personalizado 1 CHV+</t>
  </si>
  <si>
    <t>Personalizado 1 CHV</t>
  </si>
  <si>
    <t>Personalizado 2 CHV+</t>
  </si>
  <si>
    <t>Personalizado 2 CHV</t>
  </si>
  <si>
    <t>Pacto creado a criterio experto donde Amarillos y democratas van en pacto con CHV</t>
  </si>
  <si>
    <t>Pacto creado a criterio experto donde Amarillos y democratas van en pacto separado con CHV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</si>
</sst>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058DF3"/>
        <bgColor indexed="64"/>
      </patternFill>
    </fill>
    <fill>
      <patternFill patternType="solid">
        <fgColor rgb="FF3A3A3A"/>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rgb="FF3A3A3A"/>
      </left>
      <right/>
      <top style="medium">
        <color rgb="FF3A3A3A"/>
      </top>
      <bottom/>
      <diagonal/>
    </border>
    <border>
      <left/>
      <right/>
      <top style="medium">
        <color rgb="FF3A3A3A"/>
      </top>
      <bottom/>
      <diagonal/>
    </border>
    <border>
      <left/>
      <right style="medium">
        <color rgb="FF3A3A3A"/>
      </right>
      <top style="medium">
        <color rgb="FF3A3A3A"/>
      </top>
      <bottom/>
      <diagonal/>
    </border>
    <border>
      <left style="medium">
        <color rgb="FF3A3A3A"/>
      </left>
      <right/>
      <top/>
      <bottom/>
      <diagonal/>
    </border>
    <border>
      <left/>
      <right style="medium">
        <color rgb="FF3A3A3A"/>
      </right>
      <top/>
      <bottom/>
      <diagonal/>
    </border>
    <border>
      <left style="medium">
        <color rgb="FF3A3A3A"/>
      </left>
      <right/>
      <top/>
      <bottom style="medium">
        <color rgb="FF3A3A3A"/>
      </bottom>
      <diagonal/>
    </border>
    <border>
      <left/>
      <right/>
      <top/>
      <bottom style="medium">
        <color rgb="FF3A3A3A"/>
      </bottom>
      <diagonal/>
    </border>
    <border>
      <left/>
      <right style="medium">
        <color rgb="FF3A3A3A"/>
      </right>
      <top/>
      <bottom style="medium">
        <color rgb="FF3A3A3A"/>
      </bottom>
      <diagonal/>
    </border>
    <border>
      <left style="thin">
        <color rgb="FF3A3A3A"/>
      </left>
      <right style="thin">
        <color rgb="FF3A3A3A"/>
      </right>
      <top style="thin">
        <color rgb="FF3A3A3A"/>
      </top>
      <bottom style="thin">
        <color rgb="FF3A3A3A"/>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29">
    <xf numFmtId="0" fontId="0" fillId="0" borderId="0" xfId="0"/>
    <xf numFmtId="0" fontId="0" fillId="0" borderId="1" xfId="0" applyBorder="1"/>
    <xf numFmtId="0" fontId="0" fillId="0" borderId="1" xfId="0" applyBorder="1" applyAlignment="1">
      <alignment wrapText="1"/>
    </xf>
    <xf numFmtId="0" fontId="2" fillId="2" borderId="1" xfId="0" applyFont="1" applyFill="1" applyBorder="1"/>
    <xf numFmtId="0" fontId="2" fillId="2" borderId="10" xfId="0" applyFont="1" applyFill="1" applyBorder="1"/>
    <xf numFmtId="0" fontId="0" fillId="0" borderId="10" xfId="0" applyBorder="1"/>
    <xf numFmtId="0" fontId="0" fillId="0" borderId="11" xfId="0" applyBorder="1"/>
    <xf numFmtId="0" fontId="0" fillId="0" borderId="12" xfId="0" applyBorder="1"/>
    <xf numFmtId="0" fontId="2" fillId="3" borderId="10" xfId="0" applyFont="1" applyFill="1" applyBorder="1"/>
    <xf numFmtId="10" fontId="2" fillId="3" borderId="10" xfId="1" applyNumberFormat="1" applyFont="1" applyFill="1" applyBorder="1"/>
    <xf numFmtId="0" fontId="2" fillId="2" borderId="0" xfId="0" applyFont="1" applyFill="1"/>
    <xf numFmtId="0" fontId="0" fillId="0" borderId="0" xfId="0"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0" xfId="0"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cellXfs>
  <cellStyles count="2">
    <cellStyle name="Normal" xfId="0" builtinId="0"/>
    <cellStyle name="Porcentaje" xfId="1" builtinId="5"/>
  </cellStyles>
  <dxfs count="0"/>
  <tableStyles count="0" defaultTableStyle="TableStyleMedium2" defaultPivotStyle="PivotStyleLight16"/>
  <colors>
    <mruColors>
      <color rgb="FF3A3A3A"/>
      <color rgb="FF058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88899</xdr:colOff>
      <xdr:row>0</xdr:row>
      <xdr:rowOff>38100</xdr:rowOff>
    </xdr:from>
    <xdr:to>
      <xdr:col>16</xdr:col>
      <xdr:colOff>3219450</xdr:colOff>
      <xdr:row>13</xdr:row>
      <xdr:rowOff>73434</xdr:rowOff>
    </xdr:to>
    <xdr:pic>
      <xdr:nvPicPr>
        <xdr:cNvPr id="3" name="Imagen 2">
          <a:extLst>
            <a:ext uri="{FF2B5EF4-FFF2-40B4-BE49-F238E27FC236}">
              <a16:creationId xmlns:a16="http://schemas.microsoft.com/office/drawing/2014/main" id="{B76A5E69-4B11-FD30-24EF-BC8EA68DB9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56924" y="38100"/>
          <a:ext cx="4264026" cy="24007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88898</xdr:colOff>
      <xdr:row>0</xdr:row>
      <xdr:rowOff>38100</xdr:rowOff>
    </xdr:from>
    <xdr:to>
      <xdr:col>13</xdr:col>
      <xdr:colOff>3152774</xdr:colOff>
      <xdr:row>13</xdr:row>
      <xdr:rowOff>39070</xdr:rowOff>
    </xdr:to>
    <xdr:pic>
      <xdr:nvPicPr>
        <xdr:cNvPr id="2" name="Imagen 1">
          <a:extLst>
            <a:ext uri="{FF2B5EF4-FFF2-40B4-BE49-F238E27FC236}">
              <a16:creationId xmlns:a16="http://schemas.microsoft.com/office/drawing/2014/main" id="{76E06A62-F92D-48E3-966E-DF8B517892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70948" y="38100"/>
          <a:ext cx="4197351" cy="23631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88899</xdr:colOff>
      <xdr:row>0</xdr:row>
      <xdr:rowOff>38100</xdr:rowOff>
    </xdr:from>
    <xdr:to>
      <xdr:col>14</xdr:col>
      <xdr:colOff>3153954</xdr:colOff>
      <xdr:row>13</xdr:row>
      <xdr:rowOff>38100</xdr:rowOff>
    </xdr:to>
    <xdr:pic>
      <xdr:nvPicPr>
        <xdr:cNvPr id="2" name="Imagen 1">
          <a:extLst>
            <a:ext uri="{FF2B5EF4-FFF2-40B4-BE49-F238E27FC236}">
              <a16:creationId xmlns:a16="http://schemas.microsoft.com/office/drawing/2014/main" id="{F64677AD-0B8A-487D-A5B6-C26450E97B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32924" y="38100"/>
          <a:ext cx="4198530" cy="2362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88899</xdr:colOff>
      <xdr:row>0</xdr:row>
      <xdr:rowOff>38099</xdr:rowOff>
    </xdr:from>
    <xdr:to>
      <xdr:col>13</xdr:col>
      <xdr:colOff>3207917</xdr:colOff>
      <xdr:row>13</xdr:row>
      <xdr:rowOff>69849</xdr:rowOff>
    </xdr:to>
    <xdr:pic>
      <xdr:nvPicPr>
        <xdr:cNvPr id="2" name="Imagen 1">
          <a:extLst>
            <a:ext uri="{FF2B5EF4-FFF2-40B4-BE49-F238E27FC236}">
              <a16:creationId xmlns:a16="http://schemas.microsoft.com/office/drawing/2014/main" id="{A250E328-CDF6-454E-A44C-B9449DFD5C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32924" y="38099"/>
          <a:ext cx="4249318" cy="2390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85724</xdr:colOff>
      <xdr:row>0</xdr:row>
      <xdr:rowOff>38100</xdr:rowOff>
    </xdr:from>
    <xdr:to>
      <xdr:col>12</xdr:col>
      <xdr:colOff>3295650</xdr:colOff>
      <xdr:row>13</xdr:row>
      <xdr:rowOff>125475</xdr:rowOff>
    </xdr:to>
    <xdr:pic>
      <xdr:nvPicPr>
        <xdr:cNvPr id="2" name="Imagen 1">
          <a:extLst>
            <a:ext uri="{FF2B5EF4-FFF2-40B4-BE49-F238E27FC236}">
              <a16:creationId xmlns:a16="http://schemas.microsoft.com/office/drawing/2014/main" id="{87501825-59DC-4663-982C-57EBD7B91C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67749" y="38100"/>
          <a:ext cx="4343401" cy="2443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88899</xdr:colOff>
      <xdr:row>0</xdr:row>
      <xdr:rowOff>38099</xdr:rowOff>
    </xdr:from>
    <xdr:to>
      <xdr:col>12</xdr:col>
      <xdr:colOff>3211092</xdr:colOff>
      <xdr:row>13</xdr:row>
      <xdr:rowOff>66674</xdr:rowOff>
    </xdr:to>
    <xdr:pic>
      <xdr:nvPicPr>
        <xdr:cNvPr id="2" name="Imagen 1">
          <a:extLst>
            <a:ext uri="{FF2B5EF4-FFF2-40B4-BE49-F238E27FC236}">
              <a16:creationId xmlns:a16="http://schemas.microsoft.com/office/drawing/2014/main" id="{81112030-8F35-4385-90BB-124439BBE9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47124" y="38099"/>
          <a:ext cx="4249318" cy="23907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88898</xdr:colOff>
      <xdr:row>0</xdr:row>
      <xdr:rowOff>38100</xdr:rowOff>
    </xdr:from>
    <xdr:to>
      <xdr:col>12</xdr:col>
      <xdr:colOff>3155949</xdr:colOff>
      <xdr:row>13</xdr:row>
      <xdr:rowOff>39070</xdr:rowOff>
    </xdr:to>
    <xdr:pic>
      <xdr:nvPicPr>
        <xdr:cNvPr id="2" name="Imagen 1">
          <a:extLst>
            <a:ext uri="{FF2B5EF4-FFF2-40B4-BE49-F238E27FC236}">
              <a16:creationId xmlns:a16="http://schemas.microsoft.com/office/drawing/2014/main" id="{B66573EF-0F80-4BEA-ABB0-023A672ABF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47123" y="38100"/>
          <a:ext cx="4197351" cy="236317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88898</xdr:colOff>
      <xdr:row>0</xdr:row>
      <xdr:rowOff>38100</xdr:rowOff>
    </xdr:from>
    <xdr:to>
      <xdr:col>11</xdr:col>
      <xdr:colOff>85045</xdr:colOff>
      <xdr:row>13</xdr:row>
      <xdr:rowOff>47625</xdr:rowOff>
    </xdr:to>
    <xdr:pic>
      <xdr:nvPicPr>
        <xdr:cNvPr id="2" name="Imagen 1">
          <a:extLst>
            <a:ext uri="{FF2B5EF4-FFF2-40B4-BE49-F238E27FC236}">
              <a16:creationId xmlns:a16="http://schemas.microsoft.com/office/drawing/2014/main" id="{569800A8-AAD3-4AE3-8921-D8073912A3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6923" y="38100"/>
          <a:ext cx="4212547" cy="23717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88899</xdr:colOff>
      <xdr:row>0</xdr:row>
      <xdr:rowOff>38100</xdr:rowOff>
    </xdr:from>
    <xdr:to>
      <xdr:col>11</xdr:col>
      <xdr:colOff>3371850</xdr:colOff>
      <xdr:row>13</xdr:row>
      <xdr:rowOff>162412</xdr:rowOff>
    </xdr:to>
    <xdr:pic>
      <xdr:nvPicPr>
        <xdr:cNvPr id="2" name="Imagen 1">
          <a:extLst>
            <a:ext uri="{FF2B5EF4-FFF2-40B4-BE49-F238E27FC236}">
              <a16:creationId xmlns:a16="http://schemas.microsoft.com/office/drawing/2014/main" id="{C972C730-0AA8-499C-9633-3FAF802354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8924" y="38100"/>
          <a:ext cx="4416426" cy="248651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88899</xdr:colOff>
      <xdr:row>0</xdr:row>
      <xdr:rowOff>38099</xdr:rowOff>
    </xdr:from>
    <xdr:to>
      <xdr:col>10</xdr:col>
      <xdr:colOff>3130674</xdr:colOff>
      <xdr:row>13</xdr:row>
      <xdr:rowOff>28574</xdr:rowOff>
    </xdr:to>
    <xdr:pic>
      <xdr:nvPicPr>
        <xdr:cNvPr id="2" name="Imagen 1">
          <a:extLst>
            <a:ext uri="{FF2B5EF4-FFF2-40B4-BE49-F238E27FC236}">
              <a16:creationId xmlns:a16="http://schemas.microsoft.com/office/drawing/2014/main" id="{0B8977BC-1FF4-4768-8FE3-41F92B2451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6924" y="38099"/>
          <a:ext cx="4181600" cy="2352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88899</xdr:colOff>
      <xdr:row>0</xdr:row>
      <xdr:rowOff>38100</xdr:rowOff>
    </xdr:from>
    <xdr:to>
      <xdr:col>14</xdr:col>
      <xdr:colOff>3286215</xdr:colOff>
      <xdr:row>13</xdr:row>
      <xdr:rowOff>114300</xdr:rowOff>
    </xdr:to>
    <xdr:pic>
      <xdr:nvPicPr>
        <xdr:cNvPr id="2" name="Imagen 1">
          <a:extLst>
            <a:ext uri="{FF2B5EF4-FFF2-40B4-BE49-F238E27FC236}">
              <a16:creationId xmlns:a16="http://schemas.microsoft.com/office/drawing/2014/main" id="{02BDD73D-24BB-4815-AE16-DFD170DA93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09124" y="38100"/>
          <a:ext cx="4333966" cy="24384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12</xdr:col>
      <xdr:colOff>88898</xdr:colOff>
      <xdr:row>0</xdr:row>
      <xdr:rowOff>38100</xdr:rowOff>
    </xdr:from>
    <xdr:to>
      <xdr:col>13</xdr:col>
      <xdr:colOff>3303312</xdr:colOff>
      <xdr:row>13</xdr:row>
      <xdr:rowOff>123825</xdr:rowOff>
    </xdr:to>
    <xdr:pic>
      <xdr:nvPicPr>
        <xdr:cNvPr id="2" name="Imagen 1">
          <a:extLst>
            <a:ext uri="{FF2B5EF4-FFF2-40B4-BE49-F238E27FC236}">
              <a16:creationId xmlns:a16="http://schemas.microsoft.com/office/drawing/2014/main" id="{2DD56041-CDF0-46A4-A0DA-41B2A77FF9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47123" y="38100"/>
          <a:ext cx="4347889" cy="24479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10</xdr:col>
      <xdr:colOff>88899</xdr:colOff>
      <xdr:row>0</xdr:row>
      <xdr:rowOff>38100</xdr:rowOff>
    </xdr:from>
    <xdr:to>
      <xdr:col>11</xdr:col>
      <xdr:colOff>3221672</xdr:colOff>
      <xdr:row>13</xdr:row>
      <xdr:rowOff>76200</xdr:rowOff>
    </xdr:to>
    <xdr:pic>
      <xdr:nvPicPr>
        <xdr:cNvPr id="2" name="Imagen 1">
          <a:extLst>
            <a:ext uri="{FF2B5EF4-FFF2-40B4-BE49-F238E27FC236}">
              <a16:creationId xmlns:a16="http://schemas.microsoft.com/office/drawing/2014/main" id="{6D7ECFAB-5430-410A-A656-D5784D99A1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85124" y="38100"/>
          <a:ext cx="4266248" cy="24003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88899</xdr:colOff>
      <xdr:row>0</xdr:row>
      <xdr:rowOff>38099</xdr:rowOff>
    </xdr:from>
    <xdr:to>
      <xdr:col>11</xdr:col>
      <xdr:colOff>3343354</xdr:colOff>
      <xdr:row>13</xdr:row>
      <xdr:rowOff>146049</xdr:rowOff>
    </xdr:to>
    <xdr:pic>
      <xdr:nvPicPr>
        <xdr:cNvPr id="2" name="Imagen 1">
          <a:extLst>
            <a:ext uri="{FF2B5EF4-FFF2-40B4-BE49-F238E27FC236}">
              <a16:creationId xmlns:a16="http://schemas.microsoft.com/office/drawing/2014/main" id="{192652CB-F23E-4C4B-9743-C6564D27AF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8924" y="38099"/>
          <a:ext cx="4384755" cy="24669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88899</xdr:colOff>
      <xdr:row>0</xdr:row>
      <xdr:rowOff>38100</xdr:rowOff>
    </xdr:from>
    <xdr:to>
      <xdr:col>12</xdr:col>
      <xdr:colOff>3326424</xdr:colOff>
      <xdr:row>13</xdr:row>
      <xdr:rowOff>130175</xdr:rowOff>
    </xdr:to>
    <xdr:pic>
      <xdr:nvPicPr>
        <xdr:cNvPr id="2" name="Imagen 1">
          <a:extLst>
            <a:ext uri="{FF2B5EF4-FFF2-40B4-BE49-F238E27FC236}">
              <a16:creationId xmlns:a16="http://schemas.microsoft.com/office/drawing/2014/main" id="{021429D2-3D9A-499B-893C-935181AF22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8924" y="38100"/>
          <a:ext cx="4367825"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art.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art.csv"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Conv.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Conv.csv"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Cons.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Cons.csv"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Mun.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Mun.csv"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ers1_CHV1.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ers1_CHV1.csv"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ers1_CHV.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ers1_CHV.csv"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ers2_CHV1.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ers2_CHV1.csv"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ers2_CHV.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ers2_CHV.csv"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proyectados_proporciones.csv" TargetMode="External"/><Relationship Id="rId1" Type="http://schemas.openxmlformats.org/officeDocument/2006/relationships/externalLinkPath" Target="/Users/Ivan/Desktop/Ivan/Laboral/EstrategiaSur/GitProjects/Proyeccion-electoral-congreso/Resultados/Diputados/Version%20con%20incumbencia%20corregida_v2/resultados_proyectados_proporciones.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Unnamed: 0</v>
          </cell>
          <cell r="C1" t="str">
            <v>AH</v>
          </cell>
          <cell r="D1" t="str">
            <v>AMARILLOS</v>
          </cell>
          <cell r="E1" t="str">
            <v>DEMOCRATAS</v>
          </cell>
          <cell r="F1" t="str">
            <v>EVOPOLI</v>
          </cell>
          <cell r="G1" t="str">
            <v>FA</v>
          </cell>
          <cell r="H1" t="str">
            <v>FREVS</v>
          </cell>
          <cell r="I1" t="str">
            <v>IGUALDAD</v>
          </cell>
          <cell r="J1" t="str">
            <v>IND - CANDIDATURAS INDEPENDIENTES</v>
          </cell>
          <cell r="K1" t="str">
            <v>PAVP</v>
          </cell>
          <cell r="L1" t="str">
            <v>PCCH</v>
          </cell>
          <cell r="M1" t="str">
            <v>PDC</v>
          </cell>
          <cell r="N1" t="str">
            <v>PDG</v>
          </cell>
          <cell r="O1" t="str">
            <v>PH</v>
          </cell>
          <cell r="P1" t="str">
            <v>PL</v>
          </cell>
          <cell r="Q1" t="str">
            <v>POPULAR</v>
          </cell>
          <cell r="R1" t="str">
            <v>PPD</v>
          </cell>
          <cell r="S1" t="str">
            <v>PR</v>
          </cell>
          <cell r="T1" t="str">
            <v>PS</v>
          </cell>
          <cell r="U1" t="str">
            <v>PSC</v>
          </cell>
          <cell r="V1" t="str">
            <v>PTR</v>
          </cell>
          <cell r="W1" t="str">
            <v>REPUBLICANO</v>
          </cell>
          <cell r="X1" t="str">
            <v>RN</v>
          </cell>
          <cell r="Y1" t="str">
            <v>UDI</v>
          </cell>
          <cell r="Z1" t="str">
            <v>Votos Blancos</v>
          </cell>
          <cell r="AA1" t="str">
            <v>Votos Nulos</v>
          </cell>
        </row>
        <row r="2">
          <cell r="A2">
            <v>1</v>
          </cell>
          <cell r="B2">
            <v>0</v>
          </cell>
          <cell r="C2">
            <v>0</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0</v>
          </cell>
        </row>
        <row r="3">
          <cell r="A3">
            <v>2</v>
          </cell>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2</v>
          </cell>
          <cell r="X3">
            <v>1</v>
          </cell>
          <cell r="Y3">
            <v>0</v>
          </cell>
          <cell r="Z3">
            <v>0</v>
          </cell>
          <cell r="AA3">
            <v>0</v>
          </cell>
        </row>
        <row r="4">
          <cell r="A4">
            <v>3</v>
          </cell>
          <cell r="B4">
            <v>0</v>
          </cell>
          <cell r="C4">
            <v>0</v>
          </cell>
          <cell r="D4">
            <v>0</v>
          </cell>
          <cell r="E4">
            <v>0</v>
          </cell>
          <cell r="F4">
            <v>0</v>
          </cell>
          <cell r="G4">
            <v>0</v>
          </cell>
          <cell r="H4">
            <v>1</v>
          </cell>
          <cell r="I4">
            <v>0</v>
          </cell>
          <cell r="J4">
            <v>0</v>
          </cell>
          <cell r="K4">
            <v>0</v>
          </cell>
          <cell r="L4">
            <v>1</v>
          </cell>
          <cell r="M4">
            <v>0</v>
          </cell>
          <cell r="N4">
            <v>1</v>
          </cell>
          <cell r="O4">
            <v>0</v>
          </cell>
          <cell r="P4">
            <v>0</v>
          </cell>
          <cell r="Q4">
            <v>0</v>
          </cell>
          <cell r="R4">
            <v>0</v>
          </cell>
          <cell r="S4">
            <v>0</v>
          </cell>
          <cell r="T4">
            <v>0</v>
          </cell>
          <cell r="U4">
            <v>0</v>
          </cell>
          <cell r="V4">
            <v>0</v>
          </cell>
          <cell r="W4">
            <v>1</v>
          </cell>
          <cell r="X4">
            <v>1</v>
          </cell>
          <cell r="Y4">
            <v>0</v>
          </cell>
          <cell r="Z4">
            <v>0</v>
          </cell>
          <cell r="AA4">
            <v>0</v>
          </cell>
        </row>
        <row r="5">
          <cell r="A5">
            <v>4</v>
          </cell>
          <cell r="B5">
            <v>0</v>
          </cell>
          <cell r="C5">
            <v>0</v>
          </cell>
          <cell r="D5">
            <v>0</v>
          </cell>
          <cell r="E5">
            <v>0</v>
          </cell>
          <cell r="F5">
            <v>0</v>
          </cell>
          <cell r="G5">
            <v>0</v>
          </cell>
          <cell r="H5">
            <v>1</v>
          </cell>
          <cell r="I5">
            <v>0</v>
          </cell>
          <cell r="J5">
            <v>0</v>
          </cell>
          <cell r="K5">
            <v>0</v>
          </cell>
          <cell r="L5">
            <v>1</v>
          </cell>
          <cell r="M5">
            <v>0</v>
          </cell>
          <cell r="N5">
            <v>0</v>
          </cell>
          <cell r="O5">
            <v>0</v>
          </cell>
          <cell r="P5">
            <v>0</v>
          </cell>
          <cell r="Q5">
            <v>0</v>
          </cell>
          <cell r="R5">
            <v>0</v>
          </cell>
          <cell r="S5">
            <v>0</v>
          </cell>
          <cell r="T5">
            <v>1</v>
          </cell>
          <cell r="U5">
            <v>0</v>
          </cell>
          <cell r="V5">
            <v>0</v>
          </cell>
          <cell r="W5">
            <v>1</v>
          </cell>
          <cell r="X5">
            <v>1</v>
          </cell>
          <cell r="Y5">
            <v>0</v>
          </cell>
          <cell r="Z5">
            <v>0</v>
          </cell>
          <cell r="AA5">
            <v>0</v>
          </cell>
        </row>
        <row r="6">
          <cell r="A6">
            <v>5</v>
          </cell>
          <cell r="B6">
            <v>0</v>
          </cell>
          <cell r="C6">
            <v>0</v>
          </cell>
          <cell r="D6">
            <v>0</v>
          </cell>
          <cell r="E6">
            <v>0</v>
          </cell>
          <cell r="F6">
            <v>0</v>
          </cell>
          <cell r="G6">
            <v>1</v>
          </cell>
          <cell r="H6">
            <v>0</v>
          </cell>
          <cell r="I6">
            <v>0</v>
          </cell>
          <cell r="J6">
            <v>0</v>
          </cell>
          <cell r="K6">
            <v>0</v>
          </cell>
          <cell r="L6">
            <v>1</v>
          </cell>
          <cell r="M6">
            <v>1</v>
          </cell>
          <cell r="N6">
            <v>0</v>
          </cell>
          <cell r="O6">
            <v>0</v>
          </cell>
          <cell r="P6">
            <v>0</v>
          </cell>
          <cell r="Q6">
            <v>0</v>
          </cell>
          <cell r="R6">
            <v>0</v>
          </cell>
          <cell r="S6">
            <v>0</v>
          </cell>
          <cell r="T6">
            <v>1</v>
          </cell>
          <cell r="U6">
            <v>0</v>
          </cell>
          <cell r="V6">
            <v>0</v>
          </cell>
          <cell r="W6">
            <v>1</v>
          </cell>
          <cell r="X6">
            <v>1</v>
          </cell>
          <cell r="Y6">
            <v>1</v>
          </cell>
          <cell r="Z6">
            <v>0</v>
          </cell>
          <cell r="AA6">
            <v>0</v>
          </cell>
        </row>
        <row r="7">
          <cell r="A7">
            <v>6</v>
          </cell>
          <cell r="B7">
            <v>0</v>
          </cell>
          <cell r="C7">
            <v>0</v>
          </cell>
          <cell r="D7">
            <v>0</v>
          </cell>
          <cell r="E7">
            <v>0</v>
          </cell>
          <cell r="F7">
            <v>0</v>
          </cell>
          <cell r="G7">
            <v>1</v>
          </cell>
          <cell r="H7">
            <v>0</v>
          </cell>
          <cell r="I7">
            <v>0</v>
          </cell>
          <cell r="J7">
            <v>0</v>
          </cell>
          <cell r="K7">
            <v>0</v>
          </cell>
          <cell r="L7">
            <v>1</v>
          </cell>
          <cell r="M7">
            <v>0</v>
          </cell>
          <cell r="N7">
            <v>0</v>
          </cell>
          <cell r="O7">
            <v>0</v>
          </cell>
          <cell r="P7">
            <v>0</v>
          </cell>
          <cell r="Q7">
            <v>0</v>
          </cell>
          <cell r="R7">
            <v>0</v>
          </cell>
          <cell r="S7">
            <v>0</v>
          </cell>
          <cell r="T7">
            <v>1</v>
          </cell>
          <cell r="U7">
            <v>0</v>
          </cell>
          <cell r="V7">
            <v>0</v>
          </cell>
          <cell r="W7">
            <v>2</v>
          </cell>
          <cell r="X7">
            <v>2</v>
          </cell>
          <cell r="Y7">
            <v>1</v>
          </cell>
          <cell r="Z7">
            <v>0</v>
          </cell>
          <cell r="AA7">
            <v>0</v>
          </cell>
        </row>
        <row r="8">
          <cell r="A8">
            <v>7</v>
          </cell>
          <cell r="B8">
            <v>0</v>
          </cell>
          <cell r="C8">
            <v>0</v>
          </cell>
          <cell r="D8">
            <v>0</v>
          </cell>
          <cell r="E8">
            <v>0</v>
          </cell>
          <cell r="F8">
            <v>0</v>
          </cell>
          <cell r="G8">
            <v>2</v>
          </cell>
          <cell r="H8">
            <v>0</v>
          </cell>
          <cell r="I8">
            <v>0</v>
          </cell>
          <cell r="J8">
            <v>0</v>
          </cell>
          <cell r="K8">
            <v>0</v>
          </cell>
          <cell r="L8">
            <v>1</v>
          </cell>
          <cell r="M8">
            <v>0</v>
          </cell>
          <cell r="N8">
            <v>0</v>
          </cell>
          <cell r="O8">
            <v>0</v>
          </cell>
          <cell r="P8">
            <v>0</v>
          </cell>
          <cell r="Q8">
            <v>0</v>
          </cell>
          <cell r="R8">
            <v>0</v>
          </cell>
          <cell r="S8">
            <v>0</v>
          </cell>
          <cell r="T8">
            <v>0</v>
          </cell>
          <cell r="U8">
            <v>0</v>
          </cell>
          <cell r="V8">
            <v>0</v>
          </cell>
          <cell r="W8">
            <v>3</v>
          </cell>
          <cell r="X8">
            <v>1</v>
          </cell>
          <cell r="Y8">
            <v>1</v>
          </cell>
          <cell r="Z8">
            <v>0</v>
          </cell>
          <cell r="AA8">
            <v>0</v>
          </cell>
        </row>
        <row r="9">
          <cell r="A9">
            <v>8</v>
          </cell>
          <cell r="B9">
            <v>0</v>
          </cell>
          <cell r="C9">
            <v>0</v>
          </cell>
          <cell r="D9">
            <v>0</v>
          </cell>
          <cell r="E9">
            <v>0</v>
          </cell>
          <cell r="F9">
            <v>0</v>
          </cell>
          <cell r="G9">
            <v>3</v>
          </cell>
          <cell r="H9">
            <v>0</v>
          </cell>
          <cell r="I9">
            <v>0</v>
          </cell>
          <cell r="J9">
            <v>0</v>
          </cell>
          <cell r="K9">
            <v>0</v>
          </cell>
          <cell r="L9">
            <v>1</v>
          </cell>
          <cell r="M9">
            <v>0</v>
          </cell>
          <cell r="N9">
            <v>0</v>
          </cell>
          <cell r="O9">
            <v>0</v>
          </cell>
          <cell r="P9">
            <v>0</v>
          </cell>
          <cell r="Q9">
            <v>0</v>
          </cell>
          <cell r="R9">
            <v>0</v>
          </cell>
          <cell r="S9">
            <v>0</v>
          </cell>
          <cell r="T9">
            <v>0</v>
          </cell>
          <cell r="U9">
            <v>0</v>
          </cell>
          <cell r="V9">
            <v>0</v>
          </cell>
          <cell r="W9">
            <v>2</v>
          </cell>
          <cell r="X9">
            <v>1</v>
          </cell>
          <cell r="Y9">
            <v>1</v>
          </cell>
          <cell r="Z9">
            <v>0</v>
          </cell>
          <cell r="AA9">
            <v>0</v>
          </cell>
        </row>
        <row r="10">
          <cell r="A10">
            <v>9</v>
          </cell>
          <cell r="B10">
            <v>0</v>
          </cell>
          <cell r="C10">
            <v>0</v>
          </cell>
          <cell r="D10">
            <v>0</v>
          </cell>
          <cell r="E10">
            <v>0</v>
          </cell>
          <cell r="F10">
            <v>0</v>
          </cell>
          <cell r="G10">
            <v>1</v>
          </cell>
          <cell r="H10">
            <v>0</v>
          </cell>
          <cell r="I10">
            <v>0</v>
          </cell>
          <cell r="J10">
            <v>0</v>
          </cell>
          <cell r="K10">
            <v>0</v>
          </cell>
          <cell r="L10">
            <v>2</v>
          </cell>
          <cell r="M10">
            <v>0</v>
          </cell>
          <cell r="N10">
            <v>0</v>
          </cell>
          <cell r="O10">
            <v>0</v>
          </cell>
          <cell r="P10">
            <v>0</v>
          </cell>
          <cell r="Q10">
            <v>0</v>
          </cell>
          <cell r="R10">
            <v>0</v>
          </cell>
          <cell r="S10">
            <v>0</v>
          </cell>
          <cell r="T10">
            <v>1</v>
          </cell>
          <cell r="U10">
            <v>0</v>
          </cell>
          <cell r="V10">
            <v>0</v>
          </cell>
          <cell r="W10">
            <v>1</v>
          </cell>
          <cell r="X10">
            <v>1</v>
          </cell>
          <cell r="Y10">
            <v>1</v>
          </cell>
          <cell r="Z10">
            <v>0</v>
          </cell>
          <cell r="AA10">
            <v>0</v>
          </cell>
        </row>
        <row r="11">
          <cell r="A11">
            <v>10</v>
          </cell>
          <cell r="B11">
            <v>0</v>
          </cell>
          <cell r="C11">
            <v>0</v>
          </cell>
          <cell r="D11">
            <v>0</v>
          </cell>
          <cell r="E11">
            <v>0</v>
          </cell>
          <cell r="F11">
            <v>0</v>
          </cell>
          <cell r="G11">
            <v>3</v>
          </cell>
          <cell r="H11">
            <v>0</v>
          </cell>
          <cell r="I11">
            <v>0</v>
          </cell>
          <cell r="J11">
            <v>0</v>
          </cell>
          <cell r="K11">
            <v>0</v>
          </cell>
          <cell r="L11">
            <v>1</v>
          </cell>
          <cell r="M11">
            <v>0</v>
          </cell>
          <cell r="N11">
            <v>0</v>
          </cell>
          <cell r="O11">
            <v>0</v>
          </cell>
          <cell r="P11">
            <v>0</v>
          </cell>
          <cell r="Q11">
            <v>0</v>
          </cell>
          <cell r="R11">
            <v>0</v>
          </cell>
          <cell r="S11">
            <v>0</v>
          </cell>
          <cell r="T11">
            <v>0</v>
          </cell>
          <cell r="U11">
            <v>0</v>
          </cell>
          <cell r="V11">
            <v>0</v>
          </cell>
          <cell r="W11">
            <v>2</v>
          </cell>
          <cell r="X11">
            <v>1</v>
          </cell>
          <cell r="Y11">
            <v>1</v>
          </cell>
          <cell r="Z11">
            <v>0</v>
          </cell>
          <cell r="AA11">
            <v>0</v>
          </cell>
        </row>
        <row r="12">
          <cell r="A12">
            <v>11</v>
          </cell>
          <cell r="B12">
            <v>0</v>
          </cell>
          <cell r="C12">
            <v>0</v>
          </cell>
          <cell r="D12">
            <v>0</v>
          </cell>
          <cell r="E12">
            <v>0</v>
          </cell>
          <cell r="F12">
            <v>1</v>
          </cell>
          <cell r="G12">
            <v>1</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2</v>
          </cell>
          <cell r="X12">
            <v>1</v>
          </cell>
          <cell r="Y12">
            <v>1</v>
          </cell>
          <cell r="Z12">
            <v>0</v>
          </cell>
          <cell r="AA12">
            <v>0</v>
          </cell>
        </row>
        <row r="13">
          <cell r="A13">
            <v>12</v>
          </cell>
          <cell r="B13">
            <v>0</v>
          </cell>
          <cell r="C13">
            <v>0</v>
          </cell>
          <cell r="D13">
            <v>0</v>
          </cell>
          <cell r="E13">
            <v>0</v>
          </cell>
          <cell r="F13">
            <v>0</v>
          </cell>
          <cell r="G13">
            <v>1</v>
          </cell>
          <cell r="H13">
            <v>0</v>
          </cell>
          <cell r="I13">
            <v>0</v>
          </cell>
          <cell r="J13">
            <v>0</v>
          </cell>
          <cell r="K13">
            <v>0</v>
          </cell>
          <cell r="L13">
            <v>2</v>
          </cell>
          <cell r="M13">
            <v>0</v>
          </cell>
          <cell r="N13">
            <v>0</v>
          </cell>
          <cell r="O13">
            <v>0</v>
          </cell>
          <cell r="P13">
            <v>0</v>
          </cell>
          <cell r="Q13">
            <v>0</v>
          </cell>
          <cell r="R13">
            <v>0</v>
          </cell>
          <cell r="S13">
            <v>0</v>
          </cell>
          <cell r="T13">
            <v>0</v>
          </cell>
          <cell r="U13">
            <v>0</v>
          </cell>
          <cell r="V13">
            <v>0</v>
          </cell>
          <cell r="W13">
            <v>2</v>
          </cell>
          <cell r="X13">
            <v>2</v>
          </cell>
          <cell r="Y13">
            <v>0</v>
          </cell>
          <cell r="Z13">
            <v>0</v>
          </cell>
          <cell r="AA13">
            <v>0</v>
          </cell>
        </row>
        <row r="14">
          <cell r="A14">
            <v>13</v>
          </cell>
          <cell r="B14">
            <v>0</v>
          </cell>
          <cell r="C14">
            <v>0</v>
          </cell>
          <cell r="D14">
            <v>0</v>
          </cell>
          <cell r="E14">
            <v>0</v>
          </cell>
          <cell r="F14">
            <v>0</v>
          </cell>
          <cell r="G14">
            <v>1</v>
          </cell>
          <cell r="H14">
            <v>0</v>
          </cell>
          <cell r="I14">
            <v>0</v>
          </cell>
          <cell r="J14">
            <v>0</v>
          </cell>
          <cell r="K14">
            <v>0</v>
          </cell>
          <cell r="L14">
            <v>1</v>
          </cell>
          <cell r="M14">
            <v>0</v>
          </cell>
          <cell r="N14">
            <v>0</v>
          </cell>
          <cell r="O14">
            <v>0</v>
          </cell>
          <cell r="P14">
            <v>0</v>
          </cell>
          <cell r="Q14">
            <v>0</v>
          </cell>
          <cell r="R14">
            <v>0</v>
          </cell>
          <cell r="S14">
            <v>0</v>
          </cell>
          <cell r="T14">
            <v>1</v>
          </cell>
          <cell r="U14">
            <v>0</v>
          </cell>
          <cell r="V14">
            <v>0</v>
          </cell>
          <cell r="W14">
            <v>1</v>
          </cell>
          <cell r="X14">
            <v>1</v>
          </cell>
          <cell r="Y14">
            <v>0</v>
          </cell>
          <cell r="Z14">
            <v>0</v>
          </cell>
          <cell r="AA14">
            <v>0</v>
          </cell>
        </row>
        <row r="15">
          <cell r="A15">
            <v>14</v>
          </cell>
          <cell r="B15">
            <v>0</v>
          </cell>
          <cell r="C15">
            <v>0</v>
          </cell>
          <cell r="D15">
            <v>0</v>
          </cell>
          <cell r="E15">
            <v>0</v>
          </cell>
          <cell r="F15">
            <v>0</v>
          </cell>
          <cell r="G15">
            <v>1</v>
          </cell>
          <cell r="H15">
            <v>0</v>
          </cell>
          <cell r="I15">
            <v>0</v>
          </cell>
          <cell r="J15">
            <v>0</v>
          </cell>
          <cell r="K15">
            <v>0</v>
          </cell>
          <cell r="L15">
            <v>0</v>
          </cell>
          <cell r="M15">
            <v>0</v>
          </cell>
          <cell r="N15">
            <v>0</v>
          </cell>
          <cell r="O15">
            <v>0</v>
          </cell>
          <cell r="P15">
            <v>0</v>
          </cell>
          <cell r="Q15">
            <v>0</v>
          </cell>
          <cell r="R15">
            <v>0</v>
          </cell>
          <cell r="S15">
            <v>0</v>
          </cell>
          <cell r="T15">
            <v>1</v>
          </cell>
          <cell r="U15">
            <v>0</v>
          </cell>
          <cell r="V15">
            <v>0</v>
          </cell>
          <cell r="W15">
            <v>2</v>
          </cell>
          <cell r="X15">
            <v>1</v>
          </cell>
          <cell r="Y15">
            <v>1</v>
          </cell>
          <cell r="Z15">
            <v>0</v>
          </cell>
          <cell r="AA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1</v>
          </cell>
          <cell r="S16">
            <v>0</v>
          </cell>
          <cell r="T16">
            <v>0</v>
          </cell>
          <cell r="U16">
            <v>0</v>
          </cell>
          <cell r="V16">
            <v>0</v>
          </cell>
          <cell r="W16">
            <v>2</v>
          </cell>
          <cell r="X16">
            <v>1</v>
          </cell>
          <cell r="Y16">
            <v>1</v>
          </cell>
          <cell r="Z16">
            <v>0</v>
          </cell>
          <cell r="AA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1</v>
          </cell>
          <cell r="U17">
            <v>0</v>
          </cell>
          <cell r="V17">
            <v>0</v>
          </cell>
          <cell r="W17">
            <v>1</v>
          </cell>
          <cell r="X17">
            <v>1</v>
          </cell>
          <cell r="Y17">
            <v>1</v>
          </cell>
          <cell r="Z17">
            <v>0</v>
          </cell>
          <cell r="AA17">
            <v>0</v>
          </cell>
        </row>
        <row r="18">
          <cell r="A18">
            <v>17</v>
          </cell>
          <cell r="B18">
            <v>0</v>
          </cell>
          <cell r="C18">
            <v>0</v>
          </cell>
          <cell r="D18">
            <v>0</v>
          </cell>
          <cell r="E18">
            <v>0</v>
          </cell>
          <cell r="F18">
            <v>0</v>
          </cell>
          <cell r="G18">
            <v>0</v>
          </cell>
          <cell r="H18">
            <v>0</v>
          </cell>
          <cell r="I18">
            <v>0</v>
          </cell>
          <cell r="J18">
            <v>0</v>
          </cell>
          <cell r="K18">
            <v>0</v>
          </cell>
          <cell r="L18">
            <v>0</v>
          </cell>
          <cell r="M18">
            <v>1</v>
          </cell>
          <cell r="N18">
            <v>0</v>
          </cell>
          <cell r="O18">
            <v>0</v>
          </cell>
          <cell r="P18">
            <v>0</v>
          </cell>
          <cell r="Q18">
            <v>0</v>
          </cell>
          <cell r="R18">
            <v>0</v>
          </cell>
          <cell r="S18">
            <v>1</v>
          </cell>
          <cell r="T18">
            <v>0</v>
          </cell>
          <cell r="U18">
            <v>0</v>
          </cell>
          <cell r="V18">
            <v>0</v>
          </cell>
          <cell r="W18">
            <v>1</v>
          </cell>
          <cell r="X18">
            <v>2</v>
          </cell>
          <cell r="Y18">
            <v>2</v>
          </cell>
          <cell r="Z18">
            <v>0</v>
          </cell>
          <cell r="AA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1</v>
          </cell>
          <cell r="X19">
            <v>2</v>
          </cell>
          <cell r="Y19">
            <v>1</v>
          </cell>
          <cell r="Z19">
            <v>0</v>
          </cell>
          <cell r="AA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1</v>
          </cell>
          <cell r="T20">
            <v>0</v>
          </cell>
          <cell r="U20">
            <v>0</v>
          </cell>
          <cell r="V20">
            <v>0</v>
          </cell>
          <cell r="W20">
            <v>1</v>
          </cell>
          <cell r="X20">
            <v>1</v>
          </cell>
          <cell r="Y20">
            <v>2</v>
          </cell>
          <cell r="Z20">
            <v>0</v>
          </cell>
          <cell r="AA20">
            <v>0</v>
          </cell>
        </row>
        <row r="21">
          <cell r="A21">
            <v>20</v>
          </cell>
          <cell r="B21">
            <v>0</v>
          </cell>
          <cell r="C21">
            <v>0</v>
          </cell>
          <cell r="D21">
            <v>0</v>
          </cell>
          <cell r="E21">
            <v>0</v>
          </cell>
          <cell r="F21">
            <v>0</v>
          </cell>
          <cell r="G21">
            <v>1</v>
          </cell>
          <cell r="H21">
            <v>0</v>
          </cell>
          <cell r="I21">
            <v>0</v>
          </cell>
          <cell r="J21">
            <v>0</v>
          </cell>
          <cell r="K21">
            <v>0</v>
          </cell>
          <cell r="L21">
            <v>1</v>
          </cell>
          <cell r="M21">
            <v>1</v>
          </cell>
          <cell r="N21">
            <v>0</v>
          </cell>
          <cell r="O21">
            <v>0</v>
          </cell>
          <cell r="P21">
            <v>0</v>
          </cell>
          <cell r="Q21">
            <v>0</v>
          </cell>
          <cell r="R21">
            <v>0</v>
          </cell>
          <cell r="S21">
            <v>0</v>
          </cell>
          <cell r="T21">
            <v>0</v>
          </cell>
          <cell r="U21">
            <v>1</v>
          </cell>
          <cell r="V21">
            <v>0</v>
          </cell>
          <cell r="W21">
            <v>2</v>
          </cell>
          <cell r="X21">
            <v>1</v>
          </cell>
          <cell r="Y21">
            <v>1</v>
          </cell>
          <cell r="Z21">
            <v>0</v>
          </cell>
          <cell r="AA21">
            <v>0</v>
          </cell>
        </row>
        <row r="22">
          <cell r="A22">
            <v>21</v>
          </cell>
          <cell r="B22">
            <v>0</v>
          </cell>
          <cell r="C22">
            <v>0</v>
          </cell>
          <cell r="D22">
            <v>0</v>
          </cell>
          <cell r="E22">
            <v>0</v>
          </cell>
          <cell r="F22">
            <v>0</v>
          </cell>
          <cell r="G22">
            <v>0</v>
          </cell>
          <cell r="H22">
            <v>0</v>
          </cell>
          <cell r="I22">
            <v>0</v>
          </cell>
          <cell r="J22">
            <v>0</v>
          </cell>
          <cell r="K22">
            <v>0</v>
          </cell>
          <cell r="L22">
            <v>0</v>
          </cell>
          <cell r="M22">
            <v>1</v>
          </cell>
          <cell r="N22">
            <v>0</v>
          </cell>
          <cell r="O22">
            <v>0</v>
          </cell>
          <cell r="P22">
            <v>0</v>
          </cell>
          <cell r="Q22">
            <v>0</v>
          </cell>
          <cell r="R22">
            <v>0</v>
          </cell>
          <cell r="S22">
            <v>1</v>
          </cell>
          <cell r="T22">
            <v>0</v>
          </cell>
          <cell r="U22">
            <v>0</v>
          </cell>
          <cell r="V22">
            <v>0</v>
          </cell>
          <cell r="W22">
            <v>1</v>
          </cell>
          <cell r="X22">
            <v>1</v>
          </cell>
          <cell r="Y22">
            <v>1</v>
          </cell>
          <cell r="Z22">
            <v>0</v>
          </cell>
          <cell r="AA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1</v>
          </cell>
          <cell r="S23">
            <v>0</v>
          </cell>
          <cell r="T23">
            <v>0</v>
          </cell>
          <cell r="U23">
            <v>0</v>
          </cell>
          <cell r="V23">
            <v>0</v>
          </cell>
          <cell r="W23">
            <v>1</v>
          </cell>
          <cell r="X23">
            <v>1</v>
          </cell>
          <cell r="Y23">
            <v>1</v>
          </cell>
          <cell r="Z23">
            <v>0</v>
          </cell>
          <cell r="AA23">
            <v>0</v>
          </cell>
        </row>
        <row r="24">
          <cell r="A24">
            <v>23</v>
          </cell>
          <cell r="B24">
            <v>0</v>
          </cell>
          <cell r="C24">
            <v>0</v>
          </cell>
          <cell r="D24">
            <v>0</v>
          </cell>
          <cell r="E24">
            <v>0</v>
          </cell>
          <cell r="F24">
            <v>0</v>
          </cell>
          <cell r="G24">
            <v>1</v>
          </cell>
          <cell r="H24">
            <v>0</v>
          </cell>
          <cell r="I24">
            <v>0</v>
          </cell>
          <cell r="J24">
            <v>0</v>
          </cell>
          <cell r="K24">
            <v>0</v>
          </cell>
          <cell r="L24">
            <v>0</v>
          </cell>
          <cell r="M24">
            <v>0</v>
          </cell>
          <cell r="N24">
            <v>0</v>
          </cell>
          <cell r="O24">
            <v>0</v>
          </cell>
          <cell r="P24">
            <v>0</v>
          </cell>
          <cell r="Q24">
            <v>0</v>
          </cell>
          <cell r="R24">
            <v>1</v>
          </cell>
          <cell r="S24">
            <v>0</v>
          </cell>
          <cell r="T24">
            <v>0</v>
          </cell>
          <cell r="U24">
            <v>0</v>
          </cell>
          <cell r="V24">
            <v>0</v>
          </cell>
          <cell r="W24">
            <v>2</v>
          </cell>
          <cell r="X24">
            <v>2</v>
          </cell>
          <cell r="Y24">
            <v>1</v>
          </cell>
          <cell r="Z24">
            <v>0</v>
          </cell>
          <cell r="AA24">
            <v>0</v>
          </cell>
        </row>
        <row r="25">
          <cell r="A25">
            <v>24</v>
          </cell>
          <cell r="B25">
            <v>0</v>
          </cell>
          <cell r="C25">
            <v>0</v>
          </cell>
          <cell r="D25">
            <v>0</v>
          </cell>
          <cell r="E25">
            <v>0</v>
          </cell>
          <cell r="F25">
            <v>0</v>
          </cell>
          <cell r="G25">
            <v>1</v>
          </cell>
          <cell r="H25">
            <v>0</v>
          </cell>
          <cell r="I25">
            <v>0</v>
          </cell>
          <cell r="J25">
            <v>0</v>
          </cell>
          <cell r="K25">
            <v>0</v>
          </cell>
          <cell r="L25">
            <v>0</v>
          </cell>
          <cell r="M25">
            <v>0</v>
          </cell>
          <cell r="N25">
            <v>0</v>
          </cell>
          <cell r="O25">
            <v>0</v>
          </cell>
          <cell r="P25">
            <v>0</v>
          </cell>
          <cell r="Q25">
            <v>0</v>
          </cell>
          <cell r="R25">
            <v>1</v>
          </cell>
          <cell r="S25">
            <v>0</v>
          </cell>
          <cell r="T25">
            <v>1</v>
          </cell>
          <cell r="U25">
            <v>0</v>
          </cell>
          <cell r="V25">
            <v>0</v>
          </cell>
          <cell r="W25">
            <v>1</v>
          </cell>
          <cell r="X25">
            <v>1</v>
          </cell>
          <cell r="Y25">
            <v>0</v>
          </cell>
          <cell r="Z25">
            <v>0</v>
          </cell>
          <cell r="AA25">
            <v>0</v>
          </cell>
        </row>
        <row r="26">
          <cell r="A26">
            <v>25</v>
          </cell>
          <cell r="B26">
            <v>0</v>
          </cell>
          <cell r="C26">
            <v>0</v>
          </cell>
          <cell r="D26">
            <v>0</v>
          </cell>
          <cell r="E26">
            <v>0</v>
          </cell>
          <cell r="F26">
            <v>0</v>
          </cell>
          <cell r="G26">
            <v>0</v>
          </cell>
          <cell r="H26">
            <v>0</v>
          </cell>
          <cell r="I26">
            <v>0</v>
          </cell>
          <cell r="J26">
            <v>0</v>
          </cell>
          <cell r="K26">
            <v>0</v>
          </cell>
          <cell r="L26">
            <v>0</v>
          </cell>
          <cell r="M26">
            <v>1</v>
          </cell>
          <cell r="N26">
            <v>0</v>
          </cell>
          <cell r="O26">
            <v>0</v>
          </cell>
          <cell r="P26">
            <v>0</v>
          </cell>
          <cell r="Q26">
            <v>0</v>
          </cell>
          <cell r="R26">
            <v>0</v>
          </cell>
          <cell r="S26">
            <v>0</v>
          </cell>
          <cell r="T26">
            <v>0</v>
          </cell>
          <cell r="U26">
            <v>0</v>
          </cell>
          <cell r="V26">
            <v>0</v>
          </cell>
          <cell r="W26">
            <v>1</v>
          </cell>
          <cell r="X26">
            <v>1</v>
          </cell>
          <cell r="Y26">
            <v>1</v>
          </cell>
          <cell r="Z26">
            <v>0</v>
          </cell>
          <cell r="AA26">
            <v>0</v>
          </cell>
        </row>
        <row r="27">
          <cell r="A27">
            <v>26</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0</v>
          </cell>
          <cell r="W27">
            <v>1</v>
          </cell>
          <cell r="X27">
            <v>1</v>
          </cell>
          <cell r="Y27">
            <v>2</v>
          </cell>
          <cell r="Z27">
            <v>0</v>
          </cell>
          <cell r="AA27">
            <v>0</v>
          </cell>
        </row>
        <row r="28">
          <cell r="A28">
            <v>27</v>
          </cell>
          <cell r="B28">
            <v>0</v>
          </cell>
          <cell r="C28">
            <v>0</v>
          </cell>
          <cell r="D28">
            <v>0</v>
          </cell>
          <cell r="E28">
            <v>0</v>
          </cell>
          <cell r="F28">
            <v>0</v>
          </cell>
          <cell r="G28">
            <v>0</v>
          </cell>
          <cell r="H28">
            <v>0</v>
          </cell>
          <cell r="I28">
            <v>0</v>
          </cell>
          <cell r="J28">
            <v>0</v>
          </cell>
          <cell r="K28">
            <v>0</v>
          </cell>
          <cell r="L28">
            <v>0</v>
          </cell>
          <cell r="M28">
            <v>1</v>
          </cell>
          <cell r="N28">
            <v>0</v>
          </cell>
          <cell r="O28">
            <v>0</v>
          </cell>
          <cell r="P28">
            <v>0</v>
          </cell>
          <cell r="Q28">
            <v>0</v>
          </cell>
          <cell r="R28">
            <v>0</v>
          </cell>
          <cell r="S28">
            <v>0</v>
          </cell>
          <cell r="T28">
            <v>0</v>
          </cell>
          <cell r="U28">
            <v>0</v>
          </cell>
          <cell r="V28">
            <v>0</v>
          </cell>
          <cell r="W28">
            <v>0</v>
          </cell>
          <cell r="X28">
            <v>1</v>
          </cell>
          <cell r="Y28">
            <v>1</v>
          </cell>
          <cell r="Z28">
            <v>0</v>
          </cell>
          <cell r="AA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1</v>
          </cell>
          <cell r="U29">
            <v>0</v>
          </cell>
          <cell r="V29">
            <v>0</v>
          </cell>
          <cell r="W29">
            <v>1</v>
          </cell>
          <cell r="X29">
            <v>1</v>
          </cell>
          <cell r="Y29">
            <v>0</v>
          </cell>
          <cell r="Z29">
            <v>0</v>
          </cell>
          <cell r="AA29">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Unnamed: 0</v>
          </cell>
          <cell r="C1" t="str">
            <v>AH</v>
          </cell>
          <cell r="D1" t="str">
            <v>AMARILLOS</v>
          </cell>
          <cell r="E1" t="str">
            <v>DEMOCRATAS</v>
          </cell>
          <cell r="F1" t="str">
            <v>EVOPOLI</v>
          </cell>
          <cell r="G1" t="str">
            <v>FA</v>
          </cell>
          <cell r="H1" t="str">
            <v>FREVS</v>
          </cell>
          <cell r="I1" t="str">
            <v>IGUALDAD</v>
          </cell>
          <cell r="J1" t="str">
            <v>IND - CANDIDATURAS INDEPENDIENTES</v>
          </cell>
          <cell r="K1" t="str">
            <v>PAVP</v>
          </cell>
          <cell r="L1" t="str">
            <v>PCCH</v>
          </cell>
          <cell r="M1" t="str">
            <v>PDC</v>
          </cell>
          <cell r="N1" t="str">
            <v>PDG</v>
          </cell>
          <cell r="O1" t="str">
            <v>PH</v>
          </cell>
          <cell r="P1" t="str">
            <v>PL</v>
          </cell>
          <cell r="Q1" t="str">
            <v>POPULAR</v>
          </cell>
          <cell r="R1" t="str">
            <v>PPD</v>
          </cell>
          <cell r="S1" t="str">
            <v>PR</v>
          </cell>
          <cell r="T1" t="str">
            <v>PS</v>
          </cell>
          <cell r="U1" t="str">
            <v>PSC</v>
          </cell>
          <cell r="V1" t="str">
            <v>PTR</v>
          </cell>
          <cell r="W1" t="str">
            <v>REPUBLICANO</v>
          </cell>
          <cell r="X1" t="str">
            <v>RN</v>
          </cell>
          <cell r="Y1" t="str">
            <v>UDI</v>
          </cell>
          <cell r="Z1" t="str">
            <v>Votos Blancos</v>
          </cell>
          <cell r="AA1" t="str">
            <v>Votos Nulos</v>
          </cell>
        </row>
        <row r="2">
          <cell r="A2">
            <v>1</v>
          </cell>
          <cell r="B2">
            <v>0</v>
          </cell>
          <cell r="C2">
            <v>0</v>
          </cell>
          <cell r="D2">
            <v>0</v>
          </cell>
          <cell r="E2">
            <v>1</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1</v>
          </cell>
          <cell r="X2">
            <v>1</v>
          </cell>
          <cell r="Y2">
            <v>0</v>
          </cell>
          <cell r="Z2">
            <v>0</v>
          </cell>
          <cell r="AA2">
            <v>0</v>
          </cell>
        </row>
        <row r="3">
          <cell r="A3">
            <v>2</v>
          </cell>
          <cell r="B3">
            <v>0</v>
          </cell>
          <cell r="C3">
            <v>0</v>
          </cell>
          <cell r="D3">
            <v>0</v>
          </cell>
          <cell r="E3">
            <v>0</v>
          </cell>
          <cell r="F3">
            <v>0</v>
          </cell>
          <cell r="G3">
            <v>0</v>
          </cell>
          <cell r="H3">
            <v>0</v>
          </cell>
          <cell r="I3">
            <v>0</v>
          </cell>
          <cell r="J3">
            <v>0</v>
          </cell>
          <cell r="K3">
            <v>0</v>
          </cell>
          <cell r="L3">
            <v>0</v>
          </cell>
          <cell r="M3">
            <v>1</v>
          </cell>
          <cell r="N3">
            <v>0</v>
          </cell>
          <cell r="O3">
            <v>0</v>
          </cell>
          <cell r="P3">
            <v>0</v>
          </cell>
          <cell r="Q3">
            <v>0</v>
          </cell>
          <cell r="R3">
            <v>0</v>
          </cell>
          <cell r="S3">
            <v>0</v>
          </cell>
          <cell r="T3">
            <v>0</v>
          </cell>
          <cell r="U3">
            <v>0</v>
          </cell>
          <cell r="V3">
            <v>0</v>
          </cell>
          <cell r="W3">
            <v>1</v>
          </cell>
          <cell r="X3">
            <v>1</v>
          </cell>
          <cell r="Y3">
            <v>0</v>
          </cell>
          <cell r="Z3">
            <v>0</v>
          </cell>
          <cell r="AA3">
            <v>0</v>
          </cell>
        </row>
        <row r="4">
          <cell r="A4">
            <v>3</v>
          </cell>
          <cell r="B4">
            <v>0</v>
          </cell>
          <cell r="C4">
            <v>0</v>
          </cell>
          <cell r="D4">
            <v>0</v>
          </cell>
          <cell r="E4">
            <v>0</v>
          </cell>
          <cell r="F4">
            <v>0</v>
          </cell>
          <cell r="G4">
            <v>0</v>
          </cell>
          <cell r="H4">
            <v>1</v>
          </cell>
          <cell r="I4">
            <v>0</v>
          </cell>
          <cell r="J4">
            <v>0</v>
          </cell>
          <cell r="K4">
            <v>0</v>
          </cell>
          <cell r="L4">
            <v>0</v>
          </cell>
          <cell r="M4">
            <v>1</v>
          </cell>
          <cell r="N4">
            <v>0</v>
          </cell>
          <cell r="O4">
            <v>0</v>
          </cell>
          <cell r="P4">
            <v>0</v>
          </cell>
          <cell r="Q4">
            <v>0</v>
          </cell>
          <cell r="R4">
            <v>0</v>
          </cell>
          <cell r="S4">
            <v>1</v>
          </cell>
          <cell r="T4">
            <v>0</v>
          </cell>
          <cell r="U4">
            <v>0</v>
          </cell>
          <cell r="V4">
            <v>0</v>
          </cell>
          <cell r="W4">
            <v>1</v>
          </cell>
          <cell r="X4">
            <v>1</v>
          </cell>
          <cell r="Y4">
            <v>0</v>
          </cell>
          <cell r="Z4">
            <v>0</v>
          </cell>
          <cell r="AA4">
            <v>0</v>
          </cell>
        </row>
        <row r="5">
          <cell r="A5">
            <v>4</v>
          </cell>
          <cell r="B5">
            <v>0</v>
          </cell>
          <cell r="C5">
            <v>0</v>
          </cell>
          <cell r="D5">
            <v>0</v>
          </cell>
          <cell r="E5">
            <v>0</v>
          </cell>
          <cell r="F5">
            <v>0</v>
          </cell>
          <cell r="G5">
            <v>0</v>
          </cell>
          <cell r="H5">
            <v>1</v>
          </cell>
          <cell r="I5">
            <v>0</v>
          </cell>
          <cell r="J5">
            <v>0</v>
          </cell>
          <cell r="K5">
            <v>0</v>
          </cell>
          <cell r="L5">
            <v>0</v>
          </cell>
          <cell r="M5">
            <v>0</v>
          </cell>
          <cell r="N5">
            <v>0</v>
          </cell>
          <cell r="O5">
            <v>0</v>
          </cell>
          <cell r="P5">
            <v>0</v>
          </cell>
          <cell r="Q5">
            <v>0</v>
          </cell>
          <cell r="R5">
            <v>0</v>
          </cell>
          <cell r="S5">
            <v>1</v>
          </cell>
          <cell r="T5">
            <v>1</v>
          </cell>
          <cell r="U5">
            <v>0</v>
          </cell>
          <cell r="V5">
            <v>0</v>
          </cell>
          <cell r="W5">
            <v>1</v>
          </cell>
          <cell r="X5">
            <v>1</v>
          </cell>
          <cell r="Y5">
            <v>0</v>
          </cell>
          <cell r="Z5">
            <v>0</v>
          </cell>
          <cell r="AA5">
            <v>0</v>
          </cell>
        </row>
        <row r="6">
          <cell r="A6">
            <v>5</v>
          </cell>
          <cell r="B6">
            <v>0</v>
          </cell>
          <cell r="C6">
            <v>0</v>
          </cell>
          <cell r="D6">
            <v>0</v>
          </cell>
          <cell r="E6">
            <v>0</v>
          </cell>
          <cell r="F6">
            <v>0</v>
          </cell>
          <cell r="G6">
            <v>0</v>
          </cell>
          <cell r="H6">
            <v>0</v>
          </cell>
          <cell r="I6">
            <v>0</v>
          </cell>
          <cell r="J6">
            <v>0</v>
          </cell>
          <cell r="K6">
            <v>0</v>
          </cell>
          <cell r="L6">
            <v>1</v>
          </cell>
          <cell r="M6">
            <v>1</v>
          </cell>
          <cell r="N6">
            <v>0</v>
          </cell>
          <cell r="O6">
            <v>0</v>
          </cell>
          <cell r="P6">
            <v>0</v>
          </cell>
          <cell r="Q6">
            <v>0</v>
          </cell>
          <cell r="R6">
            <v>0</v>
          </cell>
          <cell r="S6">
            <v>1</v>
          </cell>
          <cell r="T6">
            <v>1</v>
          </cell>
          <cell r="U6">
            <v>0</v>
          </cell>
          <cell r="V6">
            <v>0</v>
          </cell>
          <cell r="W6">
            <v>1</v>
          </cell>
          <cell r="X6">
            <v>1</v>
          </cell>
          <cell r="Y6">
            <v>1</v>
          </cell>
          <cell r="Z6">
            <v>0</v>
          </cell>
          <cell r="AA6">
            <v>0</v>
          </cell>
        </row>
        <row r="7">
          <cell r="A7">
            <v>6</v>
          </cell>
          <cell r="B7">
            <v>0</v>
          </cell>
          <cell r="C7">
            <v>0</v>
          </cell>
          <cell r="D7">
            <v>0</v>
          </cell>
          <cell r="E7">
            <v>0</v>
          </cell>
          <cell r="F7">
            <v>0</v>
          </cell>
          <cell r="G7">
            <v>1</v>
          </cell>
          <cell r="H7">
            <v>0</v>
          </cell>
          <cell r="I7">
            <v>0</v>
          </cell>
          <cell r="J7">
            <v>0</v>
          </cell>
          <cell r="K7">
            <v>0</v>
          </cell>
          <cell r="L7">
            <v>1</v>
          </cell>
          <cell r="M7">
            <v>1</v>
          </cell>
          <cell r="N7">
            <v>0</v>
          </cell>
          <cell r="O7">
            <v>0</v>
          </cell>
          <cell r="P7">
            <v>0</v>
          </cell>
          <cell r="Q7">
            <v>0</v>
          </cell>
          <cell r="R7">
            <v>0</v>
          </cell>
          <cell r="S7">
            <v>0</v>
          </cell>
          <cell r="T7">
            <v>1</v>
          </cell>
          <cell r="U7">
            <v>0</v>
          </cell>
          <cell r="V7">
            <v>0</v>
          </cell>
          <cell r="W7">
            <v>2</v>
          </cell>
          <cell r="X7">
            <v>2</v>
          </cell>
          <cell r="Y7">
            <v>0</v>
          </cell>
          <cell r="Z7">
            <v>0</v>
          </cell>
          <cell r="AA7">
            <v>0</v>
          </cell>
        </row>
        <row r="8">
          <cell r="A8">
            <v>7</v>
          </cell>
          <cell r="B8">
            <v>0</v>
          </cell>
          <cell r="C8">
            <v>0</v>
          </cell>
          <cell r="D8">
            <v>0</v>
          </cell>
          <cell r="E8">
            <v>0</v>
          </cell>
          <cell r="F8">
            <v>0</v>
          </cell>
          <cell r="G8">
            <v>1</v>
          </cell>
          <cell r="H8">
            <v>0</v>
          </cell>
          <cell r="I8">
            <v>0</v>
          </cell>
          <cell r="J8">
            <v>0</v>
          </cell>
          <cell r="K8">
            <v>0</v>
          </cell>
          <cell r="L8">
            <v>1</v>
          </cell>
          <cell r="M8">
            <v>1</v>
          </cell>
          <cell r="N8">
            <v>0</v>
          </cell>
          <cell r="O8">
            <v>0</v>
          </cell>
          <cell r="P8">
            <v>0</v>
          </cell>
          <cell r="Q8">
            <v>0</v>
          </cell>
          <cell r="R8">
            <v>0</v>
          </cell>
          <cell r="S8">
            <v>0</v>
          </cell>
          <cell r="T8">
            <v>1</v>
          </cell>
          <cell r="U8">
            <v>0</v>
          </cell>
          <cell r="V8">
            <v>0</v>
          </cell>
          <cell r="W8">
            <v>2</v>
          </cell>
          <cell r="X8">
            <v>1</v>
          </cell>
          <cell r="Y8">
            <v>1</v>
          </cell>
          <cell r="Z8">
            <v>0</v>
          </cell>
          <cell r="AA8">
            <v>0</v>
          </cell>
        </row>
        <row r="9">
          <cell r="A9">
            <v>8</v>
          </cell>
          <cell r="B9">
            <v>0</v>
          </cell>
          <cell r="C9">
            <v>0</v>
          </cell>
          <cell r="D9">
            <v>0</v>
          </cell>
          <cell r="E9">
            <v>0</v>
          </cell>
          <cell r="F9">
            <v>0</v>
          </cell>
          <cell r="G9">
            <v>2</v>
          </cell>
          <cell r="H9">
            <v>0</v>
          </cell>
          <cell r="I9">
            <v>0</v>
          </cell>
          <cell r="J9">
            <v>0</v>
          </cell>
          <cell r="K9">
            <v>0</v>
          </cell>
          <cell r="L9">
            <v>1</v>
          </cell>
          <cell r="M9">
            <v>1</v>
          </cell>
          <cell r="N9">
            <v>0</v>
          </cell>
          <cell r="O9">
            <v>0</v>
          </cell>
          <cell r="P9">
            <v>0</v>
          </cell>
          <cell r="Q9">
            <v>0</v>
          </cell>
          <cell r="R9">
            <v>0</v>
          </cell>
          <cell r="S9">
            <v>0</v>
          </cell>
          <cell r="T9">
            <v>1</v>
          </cell>
          <cell r="U9">
            <v>0</v>
          </cell>
          <cell r="V9">
            <v>0</v>
          </cell>
          <cell r="W9">
            <v>2</v>
          </cell>
          <cell r="X9">
            <v>1</v>
          </cell>
          <cell r="Y9">
            <v>0</v>
          </cell>
          <cell r="Z9">
            <v>0</v>
          </cell>
          <cell r="AA9">
            <v>0</v>
          </cell>
        </row>
        <row r="10">
          <cell r="A10">
            <v>9</v>
          </cell>
          <cell r="B10">
            <v>0</v>
          </cell>
          <cell r="C10">
            <v>0</v>
          </cell>
          <cell r="D10">
            <v>0</v>
          </cell>
          <cell r="E10">
            <v>0</v>
          </cell>
          <cell r="F10">
            <v>0</v>
          </cell>
          <cell r="G10">
            <v>1</v>
          </cell>
          <cell r="H10">
            <v>0</v>
          </cell>
          <cell r="I10">
            <v>0</v>
          </cell>
          <cell r="J10">
            <v>0</v>
          </cell>
          <cell r="K10">
            <v>0</v>
          </cell>
          <cell r="L10">
            <v>1</v>
          </cell>
          <cell r="M10">
            <v>0</v>
          </cell>
          <cell r="N10">
            <v>0</v>
          </cell>
          <cell r="O10">
            <v>0</v>
          </cell>
          <cell r="P10">
            <v>0</v>
          </cell>
          <cell r="Q10">
            <v>0</v>
          </cell>
          <cell r="R10">
            <v>1</v>
          </cell>
          <cell r="S10">
            <v>0</v>
          </cell>
          <cell r="T10">
            <v>1</v>
          </cell>
          <cell r="U10">
            <v>0</v>
          </cell>
          <cell r="V10">
            <v>0</v>
          </cell>
          <cell r="W10">
            <v>1</v>
          </cell>
          <cell r="X10">
            <v>1</v>
          </cell>
          <cell r="Y10">
            <v>1</v>
          </cell>
          <cell r="Z10">
            <v>0</v>
          </cell>
          <cell r="AA10">
            <v>0</v>
          </cell>
        </row>
        <row r="11">
          <cell r="A11">
            <v>10</v>
          </cell>
          <cell r="B11">
            <v>0</v>
          </cell>
          <cell r="C11">
            <v>0</v>
          </cell>
          <cell r="D11">
            <v>0</v>
          </cell>
          <cell r="E11">
            <v>0</v>
          </cell>
          <cell r="F11">
            <v>0</v>
          </cell>
          <cell r="G11">
            <v>2</v>
          </cell>
          <cell r="H11">
            <v>0</v>
          </cell>
          <cell r="I11">
            <v>0</v>
          </cell>
          <cell r="J11">
            <v>0</v>
          </cell>
          <cell r="K11">
            <v>0</v>
          </cell>
          <cell r="L11">
            <v>1</v>
          </cell>
          <cell r="M11">
            <v>0</v>
          </cell>
          <cell r="N11">
            <v>0</v>
          </cell>
          <cell r="O11">
            <v>0</v>
          </cell>
          <cell r="P11">
            <v>0</v>
          </cell>
          <cell r="Q11">
            <v>0</v>
          </cell>
          <cell r="R11">
            <v>0</v>
          </cell>
          <cell r="S11">
            <v>0</v>
          </cell>
          <cell r="T11">
            <v>1</v>
          </cell>
          <cell r="U11">
            <v>0</v>
          </cell>
          <cell r="V11">
            <v>0</v>
          </cell>
          <cell r="W11">
            <v>2</v>
          </cell>
          <cell r="X11">
            <v>1</v>
          </cell>
          <cell r="Y11">
            <v>1</v>
          </cell>
          <cell r="Z11">
            <v>0</v>
          </cell>
          <cell r="AA11">
            <v>0</v>
          </cell>
        </row>
        <row r="12">
          <cell r="A12">
            <v>11</v>
          </cell>
          <cell r="B12">
            <v>0</v>
          </cell>
          <cell r="C12">
            <v>0</v>
          </cell>
          <cell r="D12">
            <v>0</v>
          </cell>
          <cell r="E12">
            <v>0</v>
          </cell>
          <cell r="F12">
            <v>0</v>
          </cell>
          <cell r="G12">
            <v>1</v>
          </cell>
          <cell r="H12">
            <v>0</v>
          </cell>
          <cell r="I12">
            <v>0</v>
          </cell>
          <cell r="J12">
            <v>0</v>
          </cell>
          <cell r="K12">
            <v>0</v>
          </cell>
          <cell r="L12">
            <v>0</v>
          </cell>
          <cell r="M12">
            <v>1</v>
          </cell>
          <cell r="N12">
            <v>0</v>
          </cell>
          <cell r="O12">
            <v>0</v>
          </cell>
          <cell r="P12">
            <v>0</v>
          </cell>
          <cell r="Q12">
            <v>0</v>
          </cell>
          <cell r="R12">
            <v>0</v>
          </cell>
          <cell r="S12">
            <v>0</v>
          </cell>
          <cell r="T12">
            <v>0</v>
          </cell>
          <cell r="U12">
            <v>0</v>
          </cell>
          <cell r="V12">
            <v>0</v>
          </cell>
          <cell r="W12">
            <v>2</v>
          </cell>
          <cell r="X12">
            <v>1</v>
          </cell>
          <cell r="Y12">
            <v>1</v>
          </cell>
          <cell r="Z12">
            <v>0</v>
          </cell>
          <cell r="AA12">
            <v>0</v>
          </cell>
        </row>
        <row r="13">
          <cell r="A13">
            <v>12</v>
          </cell>
          <cell r="B13">
            <v>0</v>
          </cell>
          <cell r="C13">
            <v>0</v>
          </cell>
          <cell r="D13">
            <v>0</v>
          </cell>
          <cell r="E13">
            <v>1</v>
          </cell>
          <cell r="F13">
            <v>0</v>
          </cell>
          <cell r="G13">
            <v>1</v>
          </cell>
          <cell r="H13">
            <v>0</v>
          </cell>
          <cell r="I13">
            <v>0</v>
          </cell>
          <cell r="J13">
            <v>0</v>
          </cell>
          <cell r="K13">
            <v>0</v>
          </cell>
          <cell r="L13">
            <v>1</v>
          </cell>
          <cell r="M13">
            <v>0</v>
          </cell>
          <cell r="N13">
            <v>0</v>
          </cell>
          <cell r="O13">
            <v>0</v>
          </cell>
          <cell r="P13">
            <v>0</v>
          </cell>
          <cell r="Q13">
            <v>0</v>
          </cell>
          <cell r="R13">
            <v>0</v>
          </cell>
          <cell r="S13">
            <v>0</v>
          </cell>
          <cell r="T13">
            <v>1</v>
          </cell>
          <cell r="U13">
            <v>0</v>
          </cell>
          <cell r="V13">
            <v>0</v>
          </cell>
          <cell r="W13">
            <v>1</v>
          </cell>
          <cell r="X13">
            <v>2</v>
          </cell>
          <cell r="Y13">
            <v>0</v>
          </cell>
          <cell r="Z13">
            <v>0</v>
          </cell>
          <cell r="AA13">
            <v>0</v>
          </cell>
        </row>
        <row r="14">
          <cell r="A14">
            <v>13</v>
          </cell>
          <cell r="B14">
            <v>0</v>
          </cell>
          <cell r="C14">
            <v>0</v>
          </cell>
          <cell r="D14">
            <v>0</v>
          </cell>
          <cell r="E14">
            <v>0</v>
          </cell>
          <cell r="F14">
            <v>0</v>
          </cell>
          <cell r="G14">
            <v>1</v>
          </cell>
          <cell r="H14">
            <v>0</v>
          </cell>
          <cell r="I14">
            <v>0</v>
          </cell>
          <cell r="J14">
            <v>0</v>
          </cell>
          <cell r="K14">
            <v>0</v>
          </cell>
          <cell r="L14">
            <v>1</v>
          </cell>
          <cell r="M14">
            <v>0</v>
          </cell>
          <cell r="N14">
            <v>0</v>
          </cell>
          <cell r="O14">
            <v>0</v>
          </cell>
          <cell r="P14">
            <v>0</v>
          </cell>
          <cell r="Q14">
            <v>0</v>
          </cell>
          <cell r="R14">
            <v>0</v>
          </cell>
          <cell r="S14">
            <v>0</v>
          </cell>
          <cell r="T14">
            <v>1</v>
          </cell>
          <cell r="U14">
            <v>0</v>
          </cell>
          <cell r="V14">
            <v>0</v>
          </cell>
          <cell r="W14">
            <v>1</v>
          </cell>
          <cell r="X14">
            <v>1</v>
          </cell>
          <cell r="Y14">
            <v>0</v>
          </cell>
          <cell r="Z14">
            <v>0</v>
          </cell>
          <cell r="AA14">
            <v>0</v>
          </cell>
        </row>
        <row r="15">
          <cell r="A15">
            <v>14</v>
          </cell>
          <cell r="B15">
            <v>0</v>
          </cell>
          <cell r="C15">
            <v>0</v>
          </cell>
          <cell r="D15">
            <v>0</v>
          </cell>
          <cell r="E15">
            <v>0</v>
          </cell>
          <cell r="F15">
            <v>0</v>
          </cell>
          <cell r="G15">
            <v>1</v>
          </cell>
          <cell r="H15">
            <v>0</v>
          </cell>
          <cell r="I15">
            <v>0</v>
          </cell>
          <cell r="J15">
            <v>0</v>
          </cell>
          <cell r="K15">
            <v>0</v>
          </cell>
          <cell r="L15">
            <v>0</v>
          </cell>
          <cell r="M15">
            <v>0</v>
          </cell>
          <cell r="N15">
            <v>0</v>
          </cell>
          <cell r="O15">
            <v>0</v>
          </cell>
          <cell r="P15">
            <v>0</v>
          </cell>
          <cell r="Q15">
            <v>0</v>
          </cell>
          <cell r="R15">
            <v>0</v>
          </cell>
          <cell r="S15">
            <v>0</v>
          </cell>
          <cell r="T15">
            <v>2</v>
          </cell>
          <cell r="U15">
            <v>0</v>
          </cell>
          <cell r="V15">
            <v>0</v>
          </cell>
          <cell r="W15">
            <v>2</v>
          </cell>
          <cell r="X15">
            <v>0</v>
          </cell>
          <cell r="Y15">
            <v>1</v>
          </cell>
          <cell r="Z15">
            <v>0</v>
          </cell>
          <cell r="AA15">
            <v>0</v>
          </cell>
        </row>
        <row r="16">
          <cell r="A16">
            <v>15</v>
          </cell>
          <cell r="B16">
            <v>0</v>
          </cell>
          <cell r="C16">
            <v>0</v>
          </cell>
          <cell r="D16">
            <v>0</v>
          </cell>
          <cell r="E16">
            <v>0</v>
          </cell>
          <cell r="F16">
            <v>0</v>
          </cell>
          <cell r="G16">
            <v>1</v>
          </cell>
          <cell r="H16">
            <v>0</v>
          </cell>
          <cell r="I16">
            <v>0</v>
          </cell>
          <cell r="J16">
            <v>0</v>
          </cell>
          <cell r="K16">
            <v>0</v>
          </cell>
          <cell r="L16">
            <v>0</v>
          </cell>
          <cell r="M16">
            <v>0</v>
          </cell>
          <cell r="N16">
            <v>0</v>
          </cell>
          <cell r="O16">
            <v>0</v>
          </cell>
          <cell r="P16">
            <v>0</v>
          </cell>
          <cell r="Q16">
            <v>0</v>
          </cell>
          <cell r="R16">
            <v>1</v>
          </cell>
          <cell r="S16">
            <v>0</v>
          </cell>
          <cell r="T16">
            <v>1</v>
          </cell>
          <cell r="U16">
            <v>0</v>
          </cell>
          <cell r="V16">
            <v>0</v>
          </cell>
          <cell r="W16">
            <v>1</v>
          </cell>
          <cell r="X16">
            <v>1</v>
          </cell>
          <cell r="Y16">
            <v>0</v>
          </cell>
          <cell r="Z16">
            <v>0</v>
          </cell>
          <cell r="AA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1</v>
          </cell>
          <cell r="T17">
            <v>1</v>
          </cell>
          <cell r="U17">
            <v>0</v>
          </cell>
          <cell r="V17">
            <v>0</v>
          </cell>
          <cell r="W17">
            <v>0</v>
          </cell>
          <cell r="X17">
            <v>1</v>
          </cell>
          <cell r="Y17">
            <v>1</v>
          </cell>
          <cell r="Z17">
            <v>0</v>
          </cell>
          <cell r="AA17">
            <v>0</v>
          </cell>
        </row>
        <row r="18">
          <cell r="A18">
            <v>17</v>
          </cell>
          <cell r="B18">
            <v>0</v>
          </cell>
          <cell r="C18">
            <v>0</v>
          </cell>
          <cell r="D18">
            <v>0</v>
          </cell>
          <cell r="E18">
            <v>0</v>
          </cell>
          <cell r="F18">
            <v>0</v>
          </cell>
          <cell r="G18">
            <v>1</v>
          </cell>
          <cell r="H18">
            <v>0</v>
          </cell>
          <cell r="I18">
            <v>0</v>
          </cell>
          <cell r="J18">
            <v>0</v>
          </cell>
          <cell r="K18">
            <v>0</v>
          </cell>
          <cell r="L18">
            <v>0</v>
          </cell>
          <cell r="M18">
            <v>1</v>
          </cell>
          <cell r="N18">
            <v>0</v>
          </cell>
          <cell r="O18">
            <v>0</v>
          </cell>
          <cell r="P18">
            <v>0</v>
          </cell>
          <cell r="Q18">
            <v>0</v>
          </cell>
          <cell r="R18">
            <v>0</v>
          </cell>
          <cell r="S18">
            <v>1</v>
          </cell>
          <cell r="T18">
            <v>0</v>
          </cell>
          <cell r="U18">
            <v>0</v>
          </cell>
          <cell r="V18">
            <v>0</v>
          </cell>
          <cell r="W18">
            <v>1</v>
          </cell>
          <cell r="X18">
            <v>2</v>
          </cell>
          <cell r="Y18">
            <v>1</v>
          </cell>
          <cell r="Z18">
            <v>0</v>
          </cell>
          <cell r="AA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1</v>
          </cell>
          <cell r="S19">
            <v>0</v>
          </cell>
          <cell r="T19">
            <v>0</v>
          </cell>
          <cell r="U19">
            <v>0</v>
          </cell>
          <cell r="V19">
            <v>0</v>
          </cell>
          <cell r="W19">
            <v>1</v>
          </cell>
          <cell r="X19">
            <v>1</v>
          </cell>
          <cell r="Y19">
            <v>1</v>
          </cell>
          <cell r="Z19">
            <v>0</v>
          </cell>
          <cell r="AA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1</v>
          </cell>
          <cell r="T20">
            <v>1</v>
          </cell>
          <cell r="U20">
            <v>0</v>
          </cell>
          <cell r="V20">
            <v>0</v>
          </cell>
          <cell r="W20">
            <v>1</v>
          </cell>
          <cell r="X20">
            <v>1</v>
          </cell>
          <cell r="Y20">
            <v>1</v>
          </cell>
          <cell r="Z20">
            <v>0</v>
          </cell>
          <cell r="AA20">
            <v>0</v>
          </cell>
        </row>
        <row r="21">
          <cell r="A21">
            <v>20</v>
          </cell>
          <cell r="B21">
            <v>0</v>
          </cell>
          <cell r="C21">
            <v>0</v>
          </cell>
          <cell r="D21">
            <v>0</v>
          </cell>
          <cell r="E21">
            <v>0</v>
          </cell>
          <cell r="F21">
            <v>0</v>
          </cell>
          <cell r="G21">
            <v>1</v>
          </cell>
          <cell r="H21">
            <v>0</v>
          </cell>
          <cell r="I21">
            <v>0</v>
          </cell>
          <cell r="J21">
            <v>0</v>
          </cell>
          <cell r="K21">
            <v>0</v>
          </cell>
          <cell r="L21">
            <v>1</v>
          </cell>
          <cell r="M21">
            <v>1</v>
          </cell>
          <cell r="N21">
            <v>0</v>
          </cell>
          <cell r="O21">
            <v>0</v>
          </cell>
          <cell r="P21">
            <v>0</v>
          </cell>
          <cell r="Q21">
            <v>0</v>
          </cell>
          <cell r="R21">
            <v>0</v>
          </cell>
          <cell r="S21">
            <v>0</v>
          </cell>
          <cell r="T21">
            <v>1</v>
          </cell>
          <cell r="U21">
            <v>1</v>
          </cell>
          <cell r="V21">
            <v>0</v>
          </cell>
          <cell r="W21">
            <v>2</v>
          </cell>
          <cell r="X21">
            <v>0</v>
          </cell>
          <cell r="Y21">
            <v>1</v>
          </cell>
          <cell r="Z21">
            <v>0</v>
          </cell>
          <cell r="AA21">
            <v>0</v>
          </cell>
        </row>
        <row r="22">
          <cell r="A22">
            <v>21</v>
          </cell>
          <cell r="B22">
            <v>0</v>
          </cell>
          <cell r="C22">
            <v>0</v>
          </cell>
          <cell r="D22">
            <v>0</v>
          </cell>
          <cell r="E22">
            <v>0</v>
          </cell>
          <cell r="F22">
            <v>0</v>
          </cell>
          <cell r="G22">
            <v>0</v>
          </cell>
          <cell r="H22">
            <v>0</v>
          </cell>
          <cell r="I22">
            <v>0</v>
          </cell>
          <cell r="J22">
            <v>0</v>
          </cell>
          <cell r="K22">
            <v>0</v>
          </cell>
          <cell r="L22">
            <v>0</v>
          </cell>
          <cell r="M22">
            <v>1</v>
          </cell>
          <cell r="N22">
            <v>0</v>
          </cell>
          <cell r="O22">
            <v>0</v>
          </cell>
          <cell r="P22">
            <v>0</v>
          </cell>
          <cell r="Q22">
            <v>0</v>
          </cell>
          <cell r="R22">
            <v>0</v>
          </cell>
          <cell r="S22">
            <v>1</v>
          </cell>
          <cell r="T22">
            <v>0</v>
          </cell>
          <cell r="U22">
            <v>0</v>
          </cell>
          <cell r="V22">
            <v>0</v>
          </cell>
          <cell r="W22">
            <v>1</v>
          </cell>
          <cell r="X22">
            <v>1</v>
          </cell>
          <cell r="Y22">
            <v>1</v>
          </cell>
          <cell r="Z22">
            <v>0</v>
          </cell>
          <cell r="AA22">
            <v>0</v>
          </cell>
        </row>
        <row r="23">
          <cell r="A23">
            <v>22</v>
          </cell>
          <cell r="B23">
            <v>0</v>
          </cell>
          <cell r="C23">
            <v>0</v>
          </cell>
          <cell r="D23">
            <v>0</v>
          </cell>
          <cell r="E23">
            <v>0</v>
          </cell>
          <cell r="F23">
            <v>0</v>
          </cell>
          <cell r="G23">
            <v>0</v>
          </cell>
          <cell r="H23">
            <v>0</v>
          </cell>
          <cell r="I23">
            <v>0</v>
          </cell>
          <cell r="J23">
            <v>0</v>
          </cell>
          <cell r="K23">
            <v>0</v>
          </cell>
          <cell r="L23">
            <v>0</v>
          </cell>
          <cell r="M23">
            <v>1</v>
          </cell>
          <cell r="N23">
            <v>0</v>
          </cell>
          <cell r="O23">
            <v>0</v>
          </cell>
          <cell r="P23">
            <v>0</v>
          </cell>
          <cell r="Q23">
            <v>0</v>
          </cell>
          <cell r="R23">
            <v>1</v>
          </cell>
          <cell r="S23">
            <v>0</v>
          </cell>
          <cell r="T23">
            <v>0</v>
          </cell>
          <cell r="U23">
            <v>0</v>
          </cell>
          <cell r="V23">
            <v>0</v>
          </cell>
          <cell r="W23">
            <v>1</v>
          </cell>
          <cell r="X23">
            <v>1</v>
          </cell>
          <cell r="Y23">
            <v>0</v>
          </cell>
          <cell r="Z23">
            <v>0</v>
          </cell>
          <cell r="AA23">
            <v>0</v>
          </cell>
        </row>
        <row r="24">
          <cell r="A24">
            <v>23</v>
          </cell>
          <cell r="B24">
            <v>0</v>
          </cell>
          <cell r="C24">
            <v>0</v>
          </cell>
          <cell r="D24">
            <v>0</v>
          </cell>
          <cell r="E24">
            <v>0</v>
          </cell>
          <cell r="F24">
            <v>0</v>
          </cell>
          <cell r="G24">
            <v>1</v>
          </cell>
          <cell r="H24">
            <v>0</v>
          </cell>
          <cell r="I24">
            <v>0</v>
          </cell>
          <cell r="J24">
            <v>0</v>
          </cell>
          <cell r="K24">
            <v>0</v>
          </cell>
          <cell r="L24">
            <v>0</v>
          </cell>
          <cell r="M24">
            <v>0</v>
          </cell>
          <cell r="N24">
            <v>0</v>
          </cell>
          <cell r="O24">
            <v>0</v>
          </cell>
          <cell r="P24">
            <v>0</v>
          </cell>
          <cell r="Q24">
            <v>0</v>
          </cell>
          <cell r="R24">
            <v>1</v>
          </cell>
          <cell r="S24">
            <v>1</v>
          </cell>
          <cell r="T24">
            <v>0</v>
          </cell>
          <cell r="U24">
            <v>0</v>
          </cell>
          <cell r="V24">
            <v>0</v>
          </cell>
          <cell r="W24">
            <v>1</v>
          </cell>
          <cell r="X24">
            <v>2</v>
          </cell>
          <cell r="Y24">
            <v>1</v>
          </cell>
          <cell r="Z24">
            <v>0</v>
          </cell>
          <cell r="AA24">
            <v>0</v>
          </cell>
        </row>
        <row r="25">
          <cell r="A25">
            <v>24</v>
          </cell>
          <cell r="B25">
            <v>0</v>
          </cell>
          <cell r="C25">
            <v>0</v>
          </cell>
          <cell r="D25">
            <v>0</v>
          </cell>
          <cell r="E25">
            <v>0</v>
          </cell>
          <cell r="F25">
            <v>0</v>
          </cell>
          <cell r="G25">
            <v>1</v>
          </cell>
          <cell r="H25">
            <v>0</v>
          </cell>
          <cell r="I25">
            <v>0</v>
          </cell>
          <cell r="J25">
            <v>0</v>
          </cell>
          <cell r="K25">
            <v>0</v>
          </cell>
          <cell r="L25">
            <v>0</v>
          </cell>
          <cell r="M25">
            <v>0</v>
          </cell>
          <cell r="N25">
            <v>0</v>
          </cell>
          <cell r="O25">
            <v>0</v>
          </cell>
          <cell r="P25">
            <v>0</v>
          </cell>
          <cell r="Q25">
            <v>0</v>
          </cell>
          <cell r="R25">
            <v>1</v>
          </cell>
          <cell r="S25">
            <v>0</v>
          </cell>
          <cell r="T25">
            <v>1</v>
          </cell>
          <cell r="U25">
            <v>0</v>
          </cell>
          <cell r="V25">
            <v>0</v>
          </cell>
          <cell r="W25">
            <v>1</v>
          </cell>
          <cell r="X25">
            <v>1</v>
          </cell>
          <cell r="Y25">
            <v>0</v>
          </cell>
          <cell r="Z25">
            <v>0</v>
          </cell>
          <cell r="AA25">
            <v>0</v>
          </cell>
        </row>
        <row r="26">
          <cell r="A26">
            <v>25</v>
          </cell>
          <cell r="B26">
            <v>0</v>
          </cell>
          <cell r="C26">
            <v>0</v>
          </cell>
          <cell r="D26">
            <v>0</v>
          </cell>
          <cell r="E26">
            <v>0</v>
          </cell>
          <cell r="F26">
            <v>0</v>
          </cell>
          <cell r="G26">
            <v>0</v>
          </cell>
          <cell r="H26">
            <v>0</v>
          </cell>
          <cell r="I26">
            <v>0</v>
          </cell>
          <cell r="J26">
            <v>0</v>
          </cell>
          <cell r="K26">
            <v>0</v>
          </cell>
          <cell r="L26">
            <v>0</v>
          </cell>
          <cell r="M26">
            <v>1</v>
          </cell>
          <cell r="N26">
            <v>0</v>
          </cell>
          <cell r="O26">
            <v>0</v>
          </cell>
          <cell r="P26">
            <v>0</v>
          </cell>
          <cell r="Q26">
            <v>0</v>
          </cell>
          <cell r="R26">
            <v>0</v>
          </cell>
          <cell r="S26">
            <v>0</v>
          </cell>
          <cell r="T26">
            <v>1</v>
          </cell>
          <cell r="U26">
            <v>0</v>
          </cell>
          <cell r="V26">
            <v>0</v>
          </cell>
          <cell r="W26">
            <v>1</v>
          </cell>
          <cell r="X26">
            <v>0</v>
          </cell>
          <cell r="Y26">
            <v>1</v>
          </cell>
          <cell r="Z26">
            <v>0</v>
          </cell>
          <cell r="AA26">
            <v>0</v>
          </cell>
        </row>
        <row r="27">
          <cell r="A27">
            <v>26</v>
          </cell>
          <cell r="B27">
            <v>0</v>
          </cell>
          <cell r="C27">
            <v>0</v>
          </cell>
          <cell r="D27">
            <v>0</v>
          </cell>
          <cell r="E27">
            <v>0</v>
          </cell>
          <cell r="F27">
            <v>0</v>
          </cell>
          <cell r="G27">
            <v>0</v>
          </cell>
          <cell r="H27">
            <v>0</v>
          </cell>
          <cell r="I27">
            <v>0</v>
          </cell>
          <cell r="J27">
            <v>0</v>
          </cell>
          <cell r="K27">
            <v>0</v>
          </cell>
          <cell r="L27">
            <v>0</v>
          </cell>
          <cell r="M27">
            <v>1</v>
          </cell>
          <cell r="N27">
            <v>0</v>
          </cell>
          <cell r="O27">
            <v>0</v>
          </cell>
          <cell r="P27">
            <v>0</v>
          </cell>
          <cell r="Q27">
            <v>0</v>
          </cell>
          <cell r="R27">
            <v>0</v>
          </cell>
          <cell r="S27">
            <v>0</v>
          </cell>
          <cell r="T27">
            <v>1</v>
          </cell>
          <cell r="U27">
            <v>0</v>
          </cell>
          <cell r="V27">
            <v>0</v>
          </cell>
          <cell r="W27">
            <v>1</v>
          </cell>
          <cell r="X27">
            <v>1</v>
          </cell>
          <cell r="Y27">
            <v>1</v>
          </cell>
          <cell r="Z27">
            <v>0</v>
          </cell>
          <cell r="AA27">
            <v>0</v>
          </cell>
        </row>
        <row r="28">
          <cell r="A28">
            <v>27</v>
          </cell>
          <cell r="B28">
            <v>0</v>
          </cell>
          <cell r="C28">
            <v>0</v>
          </cell>
          <cell r="D28">
            <v>0</v>
          </cell>
          <cell r="E28">
            <v>0</v>
          </cell>
          <cell r="F28">
            <v>0</v>
          </cell>
          <cell r="G28">
            <v>0</v>
          </cell>
          <cell r="H28">
            <v>0</v>
          </cell>
          <cell r="I28">
            <v>0</v>
          </cell>
          <cell r="J28">
            <v>0</v>
          </cell>
          <cell r="K28">
            <v>0</v>
          </cell>
          <cell r="L28">
            <v>0</v>
          </cell>
          <cell r="M28">
            <v>1</v>
          </cell>
          <cell r="N28">
            <v>0</v>
          </cell>
          <cell r="O28">
            <v>0</v>
          </cell>
          <cell r="P28">
            <v>0</v>
          </cell>
          <cell r="Q28">
            <v>0</v>
          </cell>
          <cell r="R28">
            <v>0</v>
          </cell>
          <cell r="S28">
            <v>0</v>
          </cell>
          <cell r="T28">
            <v>0</v>
          </cell>
          <cell r="U28">
            <v>0</v>
          </cell>
          <cell r="V28">
            <v>0</v>
          </cell>
          <cell r="W28">
            <v>0</v>
          </cell>
          <cell r="X28">
            <v>1</v>
          </cell>
          <cell r="Y28">
            <v>1</v>
          </cell>
          <cell r="Z28">
            <v>0</v>
          </cell>
          <cell r="AA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1</v>
          </cell>
          <cell r="U29">
            <v>0</v>
          </cell>
          <cell r="V29">
            <v>0</v>
          </cell>
          <cell r="W29">
            <v>1</v>
          </cell>
          <cell r="X29">
            <v>1</v>
          </cell>
          <cell r="Y29">
            <v>0</v>
          </cell>
          <cell r="Z29">
            <v>0</v>
          </cell>
          <cell r="AA29">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Unnamed: 0</v>
          </cell>
          <cell r="C1" t="str">
            <v>AH</v>
          </cell>
          <cell r="D1" t="str">
            <v>AMARILLOS</v>
          </cell>
          <cell r="E1" t="str">
            <v>DEMOCRATAS</v>
          </cell>
          <cell r="F1" t="str">
            <v>EVOPOLI</v>
          </cell>
          <cell r="G1" t="str">
            <v>FA</v>
          </cell>
          <cell r="H1" t="str">
            <v>FREVS</v>
          </cell>
          <cell r="I1" t="str">
            <v>IGUALDAD</v>
          </cell>
          <cell r="J1" t="str">
            <v>IND - CANDIDATURAS INDEPENDIENTES</v>
          </cell>
          <cell r="K1" t="str">
            <v>PAVP</v>
          </cell>
          <cell r="L1" t="str">
            <v>PCCH</v>
          </cell>
          <cell r="M1" t="str">
            <v>PDC</v>
          </cell>
          <cell r="N1" t="str">
            <v>PDG</v>
          </cell>
          <cell r="O1" t="str">
            <v>PH</v>
          </cell>
          <cell r="P1" t="str">
            <v>PL</v>
          </cell>
          <cell r="Q1" t="str">
            <v>POPULAR</v>
          </cell>
          <cell r="R1" t="str">
            <v>PPD</v>
          </cell>
          <cell r="S1" t="str">
            <v>PR</v>
          </cell>
          <cell r="T1" t="str">
            <v>PS</v>
          </cell>
          <cell r="U1" t="str">
            <v>PSC</v>
          </cell>
          <cell r="V1" t="str">
            <v>PTR</v>
          </cell>
          <cell r="W1" t="str">
            <v>REPUBLICANO</v>
          </cell>
          <cell r="X1" t="str">
            <v>RN</v>
          </cell>
          <cell r="Y1" t="str">
            <v>UDI</v>
          </cell>
          <cell r="Z1" t="str">
            <v>Votos Blancos</v>
          </cell>
          <cell r="AA1" t="str">
            <v>Votos Nulos</v>
          </cell>
        </row>
        <row r="2">
          <cell r="A2">
            <v>1</v>
          </cell>
          <cell r="B2">
            <v>0</v>
          </cell>
          <cell r="C2">
            <v>0</v>
          </cell>
          <cell r="D2">
            <v>0</v>
          </cell>
          <cell r="E2">
            <v>0</v>
          </cell>
          <cell r="F2">
            <v>0</v>
          </cell>
          <cell r="G2">
            <v>0</v>
          </cell>
          <cell r="H2">
            <v>0</v>
          </cell>
          <cell r="I2">
            <v>0</v>
          </cell>
          <cell r="J2">
            <v>0</v>
          </cell>
          <cell r="K2">
            <v>0</v>
          </cell>
          <cell r="L2">
            <v>1</v>
          </cell>
          <cell r="M2">
            <v>0</v>
          </cell>
          <cell r="N2">
            <v>0</v>
          </cell>
          <cell r="O2">
            <v>0</v>
          </cell>
          <cell r="P2">
            <v>0</v>
          </cell>
          <cell r="Q2">
            <v>0</v>
          </cell>
          <cell r="R2">
            <v>0</v>
          </cell>
          <cell r="S2">
            <v>0</v>
          </cell>
          <cell r="T2">
            <v>0</v>
          </cell>
          <cell r="U2">
            <v>0</v>
          </cell>
          <cell r="V2">
            <v>0</v>
          </cell>
          <cell r="W2">
            <v>1</v>
          </cell>
          <cell r="X2">
            <v>1</v>
          </cell>
          <cell r="Y2">
            <v>0</v>
          </cell>
          <cell r="Z2">
            <v>0</v>
          </cell>
          <cell r="AA2">
            <v>0</v>
          </cell>
        </row>
        <row r="3">
          <cell r="A3">
            <v>2</v>
          </cell>
          <cell r="B3">
            <v>0</v>
          </cell>
          <cell r="C3">
            <v>0</v>
          </cell>
          <cell r="D3">
            <v>0</v>
          </cell>
          <cell r="E3">
            <v>0</v>
          </cell>
          <cell r="F3">
            <v>0</v>
          </cell>
          <cell r="G3">
            <v>1</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1</v>
          </cell>
          <cell r="X3">
            <v>1</v>
          </cell>
          <cell r="Y3">
            <v>0</v>
          </cell>
          <cell r="Z3">
            <v>0</v>
          </cell>
          <cell r="AA3">
            <v>0</v>
          </cell>
        </row>
        <row r="4">
          <cell r="A4">
            <v>3</v>
          </cell>
          <cell r="B4">
            <v>0</v>
          </cell>
          <cell r="C4">
            <v>0</v>
          </cell>
          <cell r="D4">
            <v>0</v>
          </cell>
          <cell r="E4">
            <v>0</v>
          </cell>
          <cell r="F4">
            <v>0</v>
          </cell>
          <cell r="G4">
            <v>0</v>
          </cell>
          <cell r="H4">
            <v>1</v>
          </cell>
          <cell r="I4">
            <v>0</v>
          </cell>
          <cell r="J4">
            <v>0</v>
          </cell>
          <cell r="K4">
            <v>0</v>
          </cell>
          <cell r="L4">
            <v>1</v>
          </cell>
          <cell r="M4">
            <v>0</v>
          </cell>
          <cell r="N4">
            <v>0</v>
          </cell>
          <cell r="O4">
            <v>0</v>
          </cell>
          <cell r="P4">
            <v>0</v>
          </cell>
          <cell r="Q4">
            <v>0</v>
          </cell>
          <cell r="R4">
            <v>0</v>
          </cell>
          <cell r="S4">
            <v>1</v>
          </cell>
          <cell r="T4">
            <v>0</v>
          </cell>
          <cell r="U4">
            <v>0</v>
          </cell>
          <cell r="V4">
            <v>0</v>
          </cell>
          <cell r="W4">
            <v>1</v>
          </cell>
          <cell r="X4">
            <v>1</v>
          </cell>
          <cell r="Y4">
            <v>0</v>
          </cell>
          <cell r="Z4">
            <v>0</v>
          </cell>
          <cell r="AA4">
            <v>0</v>
          </cell>
        </row>
        <row r="5">
          <cell r="A5">
            <v>4</v>
          </cell>
          <cell r="B5">
            <v>0</v>
          </cell>
          <cell r="C5">
            <v>0</v>
          </cell>
          <cell r="D5">
            <v>0</v>
          </cell>
          <cell r="E5">
            <v>0</v>
          </cell>
          <cell r="F5">
            <v>0</v>
          </cell>
          <cell r="G5">
            <v>0</v>
          </cell>
          <cell r="H5">
            <v>1</v>
          </cell>
          <cell r="I5">
            <v>0</v>
          </cell>
          <cell r="J5">
            <v>0</v>
          </cell>
          <cell r="K5">
            <v>0</v>
          </cell>
          <cell r="L5">
            <v>0</v>
          </cell>
          <cell r="M5">
            <v>0</v>
          </cell>
          <cell r="N5">
            <v>0</v>
          </cell>
          <cell r="O5">
            <v>0</v>
          </cell>
          <cell r="P5">
            <v>0</v>
          </cell>
          <cell r="Q5">
            <v>0</v>
          </cell>
          <cell r="R5">
            <v>0</v>
          </cell>
          <cell r="S5">
            <v>1</v>
          </cell>
          <cell r="T5">
            <v>1</v>
          </cell>
          <cell r="U5">
            <v>0</v>
          </cell>
          <cell r="V5">
            <v>0</v>
          </cell>
          <cell r="W5">
            <v>1</v>
          </cell>
          <cell r="X5">
            <v>1</v>
          </cell>
          <cell r="Y5">
            <v>0</v>
          </cell>
          <cell r="Z5">
            <v>0</v>
          </cell>
          <cell r="AA5">
            <v>0</v>
          </cell>
        </row>
        <row r="6">
          <cell r="A6">
            <v>5</v>
          </cell>
          <cell r="B6">
            <v>0</v>
          </cell>
          <cell r="C6">
            <v>0</v>
          </cell>
          <cell r="D6">
            <v>0</v>
          </cell>
          <cell r="E6">
            <v>0</v>
          </cell>
          <cell r="F6">
            <v>0</v>
          </cell>
          <cell r="G6">
            <v>0</v>
          </cell>
          <cell r="H6">
            <v>0</v>
          </cell>
          <cell r="I6">
            <v>0</v>
          </cell>
          <cell r="J6">
            <v>0</v>
          </cell>
          <cell r="K6">
            <v>0</v>
          </cell>
          <cell r="L6">
            <v>1</v>
          </cell>
          <cell r="M6">
            <v>1</v>
          </cell>
          <cell r="N6">
            <v>0</v>
          </cell>
          <cell r="O6">
            <v>0</v>
          </cell>
          <cell r="P6">
            <v>0</v>
          </cell>
          <cell r="Q6">
            <v>0</v>
          </cell>
          <cell r="R6">
            <v>0</v>
          </cell>
          <cell r="S6">
            <v>0</v>
          </cell>
          <cell r="T6">
            <v>1</v>
          </cell>
          <cell r="U6">
            <v>0</v>
          </cell>
          <cell r="V6">
            <v>0</v>
          </cell>
          <cell r="W6">
            <v>1</v>
          </cell>
          <cell r="X6">
            <v>1</v>
          </cell>
          <cell r="Y6">
            <v>2</v>
          </cell>
          <cell r="Z6">
            <v>0</v>
          </cell>
          <cell r="AA6">
            <v>0</v>
          </cell>
        </row>
        <row r="7">
          <cell r="A7">
            <v>6</v>
          </cell>
          <cell r="B7">
            <v>0</v>
          </cell>
          <cell r="C7">
            <v>0</v>
          </cell>
          <cell r="D7">
            <v>0</v>
          </cell>
          <cell r="E7">
            <v>0</v>
          </cell>
          <cell r="F7">
            <v>0</v>
          </cell>
          <cell r="G7">
            <v>1</v>
          </cell>
          <cell r="H7">
            <v>0</v>
          </cell>
          <cell r="I7">
            <v>0</v>
          </cell>
          <cell r="J7">
            <v>0</v>
          </cell>
          <cell r="K7">
            <v>0</v>
          </cell>
          <cell r="L7">
            <v>1</v>
          </cell>
          <cell r="M7">
            <v>1</v>
          </cell>
          <cell r="N7">
            <v>0</v>
          </cell>
          <cell r="O7">
            <v>0</v>
          </cell>
          <cell r="P7">
            <v>0</v>
          </cell>
          <cell r="Q7">
            <v>0</v>
          </cell>
          <cell r="R7">
            <v>0</v>
          </cell>
          <cell r="S7">
            <v>0</v>
          </cell>
          <cell r="T7">
            <v>1</v>
          </cell>
          <cell r="U7">
            <v>0</v>
          </cell>
          <cell r="V7">
            <v>0</v>
          </cell>
          <cell r="W7">
            <v>2</v>
          </cell>
          <cell r="X7">
            <v>2</v>
          </cell>
          <cell r="Y7">
            <v>0</v>
          </cell>
          <cell r="Z7">
            <v>0</v>
          </cell>
          <cell r="AA7">
            <v>0</v>
          </cell>
        </row>
        <row r="8">
          <cell r="A8">
            <v>7</v>
          </cell>
          <cell r="B8">
            <v>0</v>
          </cell>
          <cell r="C8">
            <v>0</v>
          </cell>
          <cell r="D8">
            <v>0</v>
          </cell>
          <cell r="E8">
            <v>0</v>
          </cell>
          <cell r="F8">
            <v>0</v>
          </cell>
          <cell r="G8">
            <v>2</v>
          </cell>
          <cell r="H8">
            <v>0</v>
          </cell>
          <cell r="I8">
            <v>0</v>
          </cell>
          <cell r="J8">
            <v>0</v>
          </cell>
          <cell r="K8">
            <v>0</v>
          </cell>
          <cell r="L8">
            <v>1</v>
          </cell>
          <cell r="M8">
            <v>1</v>
          </cell>
          <cell r="N8">
            <v>0</v>
          </cell>
          <cell r="O8">
            <v>0</v>
          </cell>
          <cell r="P8">
            <v>0</v>
          </cell>
          <cell r="Q8">
            <v>0</v>
          </cell>
          <cell r="R8">
            <v>0</v>
          </cell>
          <cell r="S8">
            <v>0</v>
          </cell>
          <cell r="T8">
            <v>0</v>
          </cell>
          <cell r="U8">
            <v>0</v>
          </cell>
          <cell r="V8">
            <v>0</v>
          </cell>
          <cell r="W8">
            <v>2</v>
          </cell>
          <cell r="X8">
            <v>1</v>
          </cell>
          <cell r="Y8">
            <v>1</v>
          </cell>
          <cell r="Z8">
            <v>0</v>
          </cell>
          <cell r="AA8">
            <v>0</v>
          </cell>
        </row>
        <row r="9">
          <cell r="A9">
            <v>8</v>
          </cell>
          <cell r="B9">
            <v>0</v>
          </cell>
          <cell r="C9">
            <v>0</v>
          </cell>
          <cell r="D9">
            <v>0</v>
          </cell>
          <cell r="E9">
            <v>0</v>
          </cell>
          <cell r="F9">
            <v>0</v>
          </cell>
          <cell r="G9">
            <v>2</v>
          </cell>
          <cell r="H9">
            <v>0</v>
          </cell>
          <cell r="I9">
            <v>0</v>
          </cell>
          <cell r="J9">
            <v>0</v>
          </cell>
          <cell r="K9">
            <v>0</v>
          </cell>
          <cell r="L9">
            <v>1</v>
          </cell>
          <cell r="M9">
            <v>1</v>
          </cell>
          <cell r="N9">
            <v>0</v>
          </cell>
          <cell r="O9">
            <v>0</v>
          </cell>
          <cell r="P9">
            <v>0</v>
          </cell>
          <cell r="Q9">
            <v>0</v>
          </cell>
          <cell r="R9">
            <v>0</v>
          </cell>
          <cell r="S9">
            <v>0</v>
          </cell>
          <cell r="T9">
            <v>0</v>
          </cell>
          <cell r="U9">
            <v>0</v>
          </cell>
          <cell r="V9">
            <v>0</v>
          </cell>
          <cell r="W9">
            <v>2</v>
          </cell>
          <cell r="X9">
            <v>1</v>
          </cell>
          <cell r="Y9">
            <v>1</v>
          </cell>
          <cell r="Z9">
            <v>0</v>
          </cell>
          <cell r="AA9">
            <v>0</v>
          </cell>
        </row>
        <row r="10">
          <cell r="A10">
            <v>9</v>
          </cell>
          <cell r="B10">
            <v>0</v>
          </cell>
          <cell r="C10">
            <v>0</v>
          </cell>
          <cell r="D10">
            <v>0</v>
          </cell>
          <cell r="E10">
            <v>0</v>
          </cell>
          <cell r="F10">
            <v>0</v>
          </cell>
          <cell r="G10">
            <v>1</v>
          </cell>
          <cell r="H10">
            <v>0</v>
          </cell>
          <cell r="I10">
            <v>0</v>
          </cell>
          <cell r="J10">
            <v>0</v>
          </cell>
          <cell r="K10">
            <v>0</v>
          </cell>
          <cell r="L10">
            <v>1</v>
          </cell>
          <cell r="M10">
            <v>0</v>
          </cell>
          <cell r="N10">
            <v>0</v>
          </cell>
          <cell r="O10">
            <v>0</v>
          </cell>
          <cell r="P10">
            <v>0</v>
          </cell>
          <cell r="Q10">
            <v>0</v>
          </cell>
          <cell r="R10">
            <v>1</v>
          </cell>
          <cell r="S10">
            <v>0</v>
          </cell>
          <cell r="T10">
            <v>1</v>
          </cell>
          <cell r="U10">
            <v>0</v>
          </cell>
          <cell r="V10">
            <v>0</v>
          </cell>
          <cell r="W10">
            <v>1</v>
          </cell>
          <cell r="X10">
            <v>1</v>
          </cell>
          <cell r="Y10">
            <v>1</v>
          </cell>
          <cell r="Z10">
            <v>0</v>
          </cell>
          <cell r="AA10">
            <v>0</v>
          </cell>
        </row>
        <row r="11">
          <cell r="A11">
            <v>10</v>
          </cell>
          <cell r="B11">
            <v>0</v>
          </cell>
          <cell r="C11">
            <v>0</v>
          </cell>
          <cell r="D11">
            <v>0</v>
          </cell>
          <cell r="E11">
            <v>0</v>
          </cell>
          <cell r="F11">
            <v>0</v>
          </cell>
          <cell r="G11">
            <v>3</v>
          </cell>
          <cell r="H11">
            <v>0</v>
          </cell>
          <cell r="I11">
            <v>0</v>
          </cell>
          <cell r="J11">
            <v>0</v>
          </cell>
          <cell r="K11">
            <v>0</v>
          </cell>
          <cell r="L11">
            <v>1</v>
          </cell>
          <cell r="M11">
            <v>0</v>
          </cell>
          <cell r="N11">
            <v>0</v>
          </cell>
          <cell r="O11">
            <v>0</v>
          </cell>
          <cell r="P11">
            <v>0</v>
          </cell>
          <cell r="Q11">
            <v>0</v>
          </cell>
          <cell r="R11">
            <v>0</v>
          </cell>
          <cell r="S11">
            <v>0</v>
          </cell>
          <cell r="T11">
            <v>0</v>
          </cell>
          <cell r="U11">
            <v>0</v>
          </cell>
          <cell r="V11">
            <v>0</v>
          </cell>
          <cell r="W11">
            <v>1</v>
          </cell>
          <cell r="X11">
            <v>2</v>
          </cell>
          <cell r="Y11">
            <v>1</v>
          </cell>
          <cell r="Z11">
            <v>0</v>
          </cell>
          <cell r="AA11">
            <v>0</v>
          </cell>
        </row>
        <row r="12">
          <cell r="A12">
            <v>11</v>
          </cell>
          <cell r="B12">
            <v>0</v>
          </cell>
          <cell r="C12">
            <v>0</v>
          </cell>
          <cell r="D12">
            <v>0</v>
          </cell>
          <cell r="E12">
            <v>0</v>
          </cell>
          <cell r="F12">
            <v>1</v>
          </cell>
          <cell r="G12">
            <v>1</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2</v>
          </cell>
          <cell r="X12">
            <v>1</v>
          </cell>
          <cell r="Y12">
            <v>1</v>
          </cell>
          <cell r="Z12">
            <v>0</v>
          </cell>
          <cell r="AA12">
            <v>0</v>
          </cell>
        </row>
        <row r="13">
          <cell r="A13">
            <v>12</v>
          </cell>
          <cell r="B13">
            <v>0</v>
          </cell>
          <cell r="C13">
            <v>0</v>
          </cell>
          <cell r="D13">
            <v>0</v>
          </cell>
          <cell r="E13">
            <v>0</v>
          </cell>
          <cell r="F13">
            <v>0</v>
          </cell>
          <cell r="G13">
            <v>1</v>
          </cell>
          <cell r="H13">
            <v>0</v>
          </cell>
          <cell r="I13">
            <v>0</v>
          </cell>
          <cell r="J13">
            <v>0</v>
          </cell>
          <cell r="K13">
            <v>1</v>
          </cell>
          <cell r="L13">
            <v>2</v>
          </cell>
          <cell r="M13">
            <v>0</v>
          </cell>
          <cell r="N13">
            <v>0</v>
          </cell>
          <cell r="O13">
            <v>0</v>
          </cell>
          <cell r="P13">
            <v>0</v>
          </cell>
          <cell r="Q13">
            <v>0</v>
          </cell>
          <cell r="R13">
            <v>0</v>
          </cell>
          <cell r="S13">
            <v>0</v>
          </cell>
          <cell r="T13">
            <v>0</v>
          </cell>
          <cell r="U13">
            <v>0</v>
          </cell>
          <cell r="V13">
            <v>0</v>
          </cell>
          <cell r="W13">
            <v>1</v>
          </cell>
          <cell r="X13">
            <v>2</v>
          </cell>
          <cell r="Y13">
            <v>0</v>
          </cell>
          <cell r="Z13">
            <v>0</v>
          </cell>
          <cell r="AA13">
            <v>0</v>
          </cell>
        </row>
        <row r="14">
          <cell r="A14">
            <v>13</v>
          </cell>
          <cell r="B14">
            <v>0</v>
          </cell>
          <cell r="C14">
            <v>0</v>
          </cell>
          <cell r="D14">
            <v>0</v>
          </cell>
          <cell r="E14">
            <v>0</v>
          </cell>
          <cell r="F14">
            <v>0</v>
          </cell>
          <cell r="G14">
            <v>1</v>
          </cell>
          <cell r="H14">
            <v>0</v>
          </cell>
          <cell r="I14">
            <v>0</v>
          </cell>
          <cell r="J14">
            <v>0</v>
          </cell>
          <cell r="K14">
            <v>0</v>
          </cell>
          <cell r="L14">
            <v>1</v>
          </cell>
          <cell r="M14">
            <v>0</v>
          </cell>
          <cell r="N14">
            <v>0</v>
          </cell>
          <cell r="O14">
            <v>0</v>
          </cell>
          <cell r="P14">
            <v>0</v>
          </cell>
          <cell r="Q14">
            <v>0</v>
          </cell>
          <cell r="R14">
            <v>0</v>
          </cell>
          <cell r="S14">
            <v>0</v>
          </cell>
          <cell r="T14">
            <v>1</v>
          </cell>
          <cell r="U14">
            <v>0</v>
          </cell>
          <cell r="V14">
            <v>0</v>
          </cell>
          <cell r="W14">
            <v>1</v>
          </cell>
          <cell r="X14">
            <v>1</v>
          </cell>
          <cell r="Y14">
            <v>0</v>
          </cell>
          <cell r="Z14">
            <v>0</v>
          </cell>
          <cell r="AA14">
            <v>0</v>
          </cell>
        </row>
        <row r="15">
          <cell r="A15">
            <v>14</v>
          </cell>
          <cell r="B15">
            <v>0</v>
          </cell>
          <cell r="C15">
            <v>0</v>
          </cell>
          <cell r="D15">
            <v>0</v>
          </cell>
          <cell r="E15">
            <v>0</v>
          </cell>
          <cell r="F15">
            <v>0</v>
          </cell>
          <cell r="G15">
            <v>1</v>
          </cell>
          <cell r="H15">
            <v>0</v>
          </cell>
          <cell r="I15">
            <v>0</v>
          </cell>
          <cell r="J15">
            <v>0</v>
          </cell>
          <cell r="K15">
            <v>0</v>
          </cell>
          <cell r="L15">
            <v>0</v>
          </cell>
          <cell r="M15">
            <v>1</v>
          </cell>
          <cell r="N15">
            <v>0</v>
          </cell>
          <cell r="O15">
            <v>0</v>
          </cell>
          <cell r="P15">
            <v>0</v>
          </cell>
          <cell r="Q15">
            <v>0</v>
          </cell>
          <cell r="R15">
            <v>0</v>
          </cell>
          <cell r="S15">
            <v>0</v>
          </cell>
          <cell r="T15">
            <v>1</v>
          </cell>
          <cell r="U15">
            <v>0</v>
          </cell>
          <cell r="V15">
            <v>0</v>
          </cell>
          <cell r="W15">
            <v>1</v>
          </cell>
          <cell r="X15">
            <v>1</v>
          </cell>
          <cell r="Y15">
            <v>1</v>
          </cell>
          <cell r="Z15">
            <v>0</v>
          </cell>
          <cell r="AA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1</v>
          </cell>
          <cell r="S16">
            <v>0</v>
          </cell>
          <cell r="T16">
            <v>1</v>
          </cell>
          <cell r="U16">
            <v>0</v>
          </cell>
          <cell r="V16">
            <v>0</v>
          </cell>
          <cell r="W16">
            <v>1</v>
          </cell>
          <cell r="X16">
            <v>1</v>
          </cell>
          <cell r="Y16">
            <v>1</v>
          </cell>
          <cell r="Z16">
            <v>0</v>
          </cell>
          <cell r="AA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1</v>
          </cell>
          <cell r="T17">
            <v>1</v>
          </cell>
          <cell r="U17">
            <v>0</v>
          </cell>
          <cell r="V17">
            <v>0</v>
          </cell>
          <cell r="W17">
            <v>0</v>
          </cell>
          <cell r="X17">
            <v>1</v>
          </cell>
          <cell r="Y17">
            <v>1</v>
          </cell>
          <cell r="Z17">
            <v>0</v>
          </cell>
          <cell r="AA17">
            <v>0</v>
          </cell>
        </row>
        <row r="18">
          <cell r="A18">
            <v>17</v>
          </cell>
          <cell r="B18">
            <v>0</v>
          </cell>
          <cell r="C18">
            <v>0</v>
          </cell>
          <cell r="D18">
            <v>0</v>
          </cell>
          <cell r="E18">
            <v>0</v>
          </cell>
          <cell r="F18">
            <v>0</v>
          </cell>
          <cell r="G18">
            <v>0</v>
          </cell>
          <cell r="H18">
            <v>0</v>
          </cell>
          <cell r="I18">
            <v>0</v>
          </cell>
          <cell r="J18">
            <v>0</v>
          </cell>
          <cell r="K18">
            <v>0</v>
          </cell>
          <cell r="L18">
            <v>0</v>
          </cell>
          <cell r="M18">
            <v>1</v>
          </cell>
          <cell r="N18">
            <v>0</v>
          </cell>
          <cell r="O18">
            <v>0</v>
          </cell>
          <cell r="P18">
            <v>0</v>
          </cell>
          <cell r="Q18">
            <v>0</v>
          </cell>
          <cell r="R18">
            <v>0</v>
          </cell>
          <cell r="S18">
            <v>1</v>
          </cell>
          <cell r="T18">
            <v>1</v>
          </cell>
          <cell r="U18">
            <v>0</v>
          </cell>
          <cell r="V18">
            <v>0</v>
          </cell>
          <cell r="W18">
            <v>1</v>
          </cell>
          <cell r="X18">
            <v>2</v>
          </cell>
          <cell r="Y18">
            <v>1</v>
          </cell>
          <cell r="Z18">
            <v>0</v>
          </cell>
          <cell r="AA18">
            <v>0</v>
          </cell>
        </row>
        <row r="19">
          <cell r="A19">
            <v>18</v>
          </cell>
          <cell r="B19">
            <v>0</v>
          </cell>
          <cell r="C19">
            <v>0</v>
          </cell>
          <cell r="D19">
            <v>0</v>
          </cell>
          <cell r="E19">
            <v>0</v>
          </cell>
          <cell r="F19">
            <v>0</v>
          </cell>
          <cell r="G19">
            <v>1</v>
          </cell>
          <cell r="H19">
            <v>0</v>
          </cell>
          <cell r="I19">
            <v>0</v>
          </cell>
          <cell r="J19">
            <v>0</v>
          </cell>
          <cell r="K19">
            <v>0</v>
          </cell>
          <cell r="L19">
            <v>0</v>
          </cell>
          <cell r="M19">
            <v>0</v>
          </cell>
          <cell r="N19">
            <v>0</v>
          </cell>
          <cell r="O19">
            <v>0</v>
          </cell>
          <cell r="P19">
            <v>0</v>
          </cell>
          <cell r="Q19">
            <v>0</v>
          </cell>
          <cell r="R19">
            <v>1</v>
          </cell>
          <cell r="S19">
            <v>0</v>
          </cell>
          <cell r="T19">
            <v>0</v>
          </cell>
          <cell r="U19">
            <v>0</v>
          </cell>
          <cell r="V19">
            <v>0</v>
          </cell>
          <cell r="W19">
            <v>0</v>
          </cell>
          <cell r="X19">
            <v>1</v>
          </cell>
          <cell r="Y19">
            <v>1</v>
          </cell>
          <cell r="Z19">
            <v>0</v>
          </cell>
          <cell r="AA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1</v>
          </cell>
          <cell r="T20">
            <v>1</v>
          </cell>
          <cell r="U20">
            <v>0</v>
          </cell>
          <cell r="V20">
            <v>0</v>
          </cell>
          <cell r="W20">
            <v>1</v>
          </cell>
          <cell r="X20">
            <v>1</v>
          </cell>
          <cell r="Y20">
            <v>1</v>
          </cell>
          <cell r="Z20">
            <v>0</v>
          </cell>
          <cell r="AA20">
            <v>0</v>
          </cell>
        </row>
        <row r="21">
          <cell r="A21">
            <v>20</v>
          </cell>
          <cell r="B21">
            <v>0</v>
          </cell>
          <cell r="C21">
            <v>0</v>
          </cell>
          <cell r="D21">
            <v>0</v>
          </cell>
          <cell r="E21">
            <v>0</v>
          </cell>
          <cell r="F21">
            <v>0</v>
          </cell>
          <cell r="G21">
            <v>1</v>
          </cell>
          <cell r="H21">
            <v>1</v>
          </cell>
          <cell r="I21">
            <v>0</v>
          </cell>
          <cell r="J21">
            <v>0</v>
          </cell>
          <cell r="K21">
            <v>0</v>
          </cell>
          <cell r="L21">
            <v>1</v>
          </cell>
          <cell r="M21">
            <v>1</v>
          </cell>
          <cell r="N21">
            <v>0</v>
          </cell>
          <cell r="O21">
            <v>0</v>
          </cell>
          <cell r="P21">
            <v>0</v>
          </cell>
          <cell r="Q21">
            <v>0</v>
          </cell>
          <cell r="R21">
            <v>0</v>
          </cell>
          <cell r="S21">
            <v>0</v>
          </cell>
          <cell r="T21">
            <v>0</v>
          </cell>
          <cell r="U21">
            <v>1</v>
          </cell>
          <cell r="V21">
            <v>0</v>
          </cell>
          <cell r="W21">
            <v>1</v>
          </cell>
          <cell r="X21">
            <v>1</v>
          </cell>
          <cell r="Y21">
            <v>1</v>
          </cell>
          <cell r="Z21">
            <v>0</v>
          </cell>
          <cell r="AA21">
            <v>0</v>
          </cell>
        </row>
        <row r="22">
          <cell r="A22">
            <v>21</v>
          </cell>
          <cell r="B22">
            <v>0</v>
          </cell>
          <cell r="C22">
            <v>0</v>
          </cell>
          <cell r="D22">
            <v>0</v>
          </cell>
          <cell r="E22">
            <v>0</v>
          </cell>
          <cell r="F22">
            <v>0</v>
          </cell>
          <cell r="G22">
            <v>0</v>
          </cell>
          <cell r="H22">
            <v>0</v>
          </cell>
          <cell r="I22">
            <v>0</v>
          </cell>
          <cell r="J22">
            <v>0</v>
          </cell>
          <cell r="K22">
            <v>0</v>
          </cell>
          <cell r="L22">
            <v>0</v>
          </cell>
          <cell r="M22">
            <v>1</v>
          </cell>
          <cell r="N22">
            <v>0</v>
          </cell>
          <cell r="O22">
            <v>0</v>
          </cell>
          <cell r="P22">
            <v>0</v>
          </cell>
          <cell r="Q22">
            <v>0</v>
          </cell>
          <cell r="R22">
            <v>0</v>
          </cell>
          <cell r="S22">
            <v>0</v>
          </cell>
          <cell r="T22">
            <v>1</v>
          </cell>
          <cell r="U22">
            <v>0</v>
          </cell>
          <cell r="V22">
            <v>0</v>
          </cell>
          <cell r="W22">
            <v>1</v>
          </cell>
          <cell r="X22">
            <v>1</v>
          </cell>
          <cell r="Y22">
            <v>1</v>
          </cell>
          <cell r="Z22">
            <v>0</v>
          </cell>
          <cell r="AA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1</v>
          </cell>
          <cell r="S23">
            <v>0</v>
          </cell>
          <cell r="T23">
            <v>0</v>
          </cell>
          <cell r="U23">
            <v>0</v>
          </cell>
          <cell r="V23">
            <v>0</v>
          </cell>
          <cell r="W23">
            <v>1</v>
          </cell>
          <cell r="X23">
            <v>1</v>
          </cell>
          <cell r="Y23">
            <v>1</v>
          </cell>
          <cell r="Z23">
            <v>0</v>
          </cell>
          <cell r="AA23">
            <v>0</v>
          </cell>
        </row>
        <row r="24">
          <cell r="A24">
            <v>23</v>
          </cell>
          <cell r="B24">
            <v>0</v>
          </cell>
          <cell r="C24">
            <v>0</v>
          </cell>
          <cell r="D24">
            <v>0</v>
          </cell>
          <cell r="E24">
            <v>0</v>
          </cell>
          <cell r="F24">
            <v>0</v>
          </cell>
          <cell r="G24">
            <v>1</v>
          </cell>
          <cell r="H24">
            <v>0</v>
          </cell>
          <cell r="I24">
            <v>0</v>
          </cell>
          <cell r="J24">
            <v>0</v>
          </cell>
          <cell r="K24">
            <v>0</v>
          </cell>
          <cell r="L24">
            <v>0</v>
          </cell>
          <cell r="M24">
            <v>0</v>
          </cell>
          <cell r="N24">
            <v>0</v>
          </cell>
          <cell r="O24">
            <v>0</v>
          </cell>
          <cell r="P24">
            <v>0</v>
          </cell>
          <cell r="Q24">
            <v>0</v>
          </cell>
          <cell r="R24">
            <v>1</v>
          </cell>
          <cell r="S24">
            <v>0</v>
          </cell>
          <cell r="T24">
            <v>1</v>
          </cell>
          <cell r="U24">
            <v>0</v>
          </cell>
          <cell r="V24">
            <v>0</v>
          </cell>
          <cell r="W24">
            <v>1</v>
          </cell>
          <cell r="X24">
            <v>2</v>
          </cell>
          <cell r="Y24">
            <v>1</v>
          </cell>
          <cell r="Z24">
            <v>0</v>
          </cell>
          <cell r="AA24">
            <v>0</v>
          </cell>
        </row>
        <row r="25">
          <cell r="A25">
            <v>24</v>
          </cell>
          <cell r="B25">
            <v>0</v>
          </cell>
          <cell r="C25">
            <v>0</v>
          </cell>
          <cell r="D25">
            <v>0</v>
          </cell>
          <cell r="E25">
            <v>0</v>
          </cell>
          <cell r="F25">
            <v>0</v>
          </cell>
          <cell r="G25">
            <v>1</v>
          </cell>
          <cell r="H25">
            <v>0</v>
          </cell>
          <cell r="I25">
            <v>0</v>
          </cell>
          <cell r="J25">
            <v>0</v>
          </cell>
          <cell r="K25">
            <v>0</v>
          </cell>
          <cell r="L25">
            <v>0</v>
          </cell>
          <cell r="M25">
            <v>0</v>
          </cell>
          <cell r="N25">
            <v>0</v>
          </cell>
          <cell r="O25">
            <v>0</v>
          </cell>
          <cell r="P25">
            <v>0</v>
          </cell>
          <cell r="Q25">
            <v>0</v>
          </cell>
          <cell r="R25">
            <v>1</v>
          </cell>
          <cell r="S25">
            <v>0</v>
          </cell>
          <cell r="T25">
            <v>1</v>
          </cell>
          <cell r="U25">
            <v>0</v>
          </cell>
          <cell r="V25">
            <v>0</v>
          </cell>
          <cell r="W25">
            <v>1</v>
          </cell>
          <cell r="X25">
            <v>1</v>
          </cell>
          <cell r="Y25">
            <v>0</v>
          </cell>
          <cell r="Z25">
            <v>0</v>
          </cell>
          <cell r="AA25">
            <v>0</v>
          </cell>
        </row>
        <row r="26">
          <cell r="A26">
            <v>25</v>
          </cell>
          <cell r="B26">
            <v>0</v>
          </cell>
          <cell r="C26">
            <v>0</v>
          </cell>
          <cell r="D26">
            <v>0</v>
          </cell>
          <cell r="E26">
            <v>0</v>
          </cell>
          <cell r="F26">
            <v>0</v>
          </cell>
          <cell r="G26">
            <v>0</v>
          </cell>
          <cell r="H26">
            <v>0</v>
          </cell>
          <cell r="I26">
            <v>0</v>
          </cell>
          <cell r="J26">
            <v>0</v>
          </cell>
          <cell r="K26">
            <v>0</v>
          </cell>
          <cell r="L26">
            <v>0</v>
          </cell>
          <cell r="M26">
            <v>1</v>
          </cell>
          <cell r="N26">
            <v>0</v>
          </cell>
          <cell r="O26">
            <v>0</v>
          </cell>
          <cell r="P26">
            <v>0</v>
          </cell>
          <cell r="Q26">
            <v>0</v>
          </cell>
          <cell r="R26">
            <v>0</v>
          </cell>
          <cell r="S26">
            <v>0</v>
          </cell>
          <cell r="T26">
            <v>1</v>
          </cell>
          <cell r="U26">
            <v>0</v>
          </cell>
          <cell r="V26">
            <v>0</v>
          </cell>
          <cell r="W26">
            <v>1</v>
          </cell>
          <cell r="X26">
            <v>0</v>
          </cell>
          <cell r="Y26">
            <v>1</v>
          </cell>
          <cell r="Z26">
            <v>0</v>
          </cell>
          <cell r="AA26">
            <v>0</v>
          </cell>
        </row>
        <row r="27">
          <cell r="A27">
            <v>26</v>
          </cell>
          <cell r="B27">
            <v>0</v>
          </cell>
          <cell r="C27">
            <v>0</v>
          </cell>
          <cell r="D27">
            <v>0</v>
          </cell>
          <cell r="E27">
            <v>0</v>
          </cell>
          <cell r="F27">
            <v>0</v>
          </cell>
          <cell r="G27">
            <v>0</v>
          </cell>
          <cell r="H27">
            <v>0</v>
          </cell>
          <cell r="I27">
            <v>0</v>
          </cell>
          <cell r="J27">
            <v>0</v>
          </cell>
          <cell r="K27">
            <v>0</v>
          </cell>
          <cell r="L27">
            <v>0</v>
          </cell>
          <cell r="M27">
            <v>1</v>
          </cell>
          <cell r="N27">
            <v>0</v>
          </cell>
          <cell r="O27">
            <v>0</v>
          </cell>
          <cell r="P27">
            <v>0</v>
          </cell>
          <cell r="Q27">
            <v>0</v>
          </cell>
          <cell r="R27">
            <v>0</v>
          </cell>
          <cell r="S27">
            <v>0</v>
          </cell>
          <cell r="T27">
            <v>1</v>
          </cell>
          <cell r="U27">
            <v>0</v>
          </cell>
          <cell r="V27">
            <v>0</v>
          </cell>
          <cell r="W27">
            <v>1</v>
          </cell>
          <cell r="X27">
            <v>1</v>
          </cell>
          <cell r="Y27">
            <v>1</v>
          </cell>
          <cell r="Z27">
            <v>0</v>
          </cell>
          <cell r="AA27">
            <v>0</v>
          </cell>
        </row>
        <row r="28">
          <cell r="A28">
            <v>27</v>
          </cell>
          <cell r="B28">
            <v>0</v>
          </cell>
          <cell r="C28">
            <v>0</v>
          </cell>
          <cell r="D28">
            <v>0</v>
          </cell>
          <cell r="E28">
            <v>0</v>
          </cell>
          <cell r="F28">
            <v>0</v>
          </cell>
          <cell r="G28">
            <v>0</v>
          </cell>
          <cell r="H28">
            <v>0</v>
          </cell>
          <cell r="I28">
            <v>0</v>
          </cell>
          <cell r="J28">
            <v>0</v>
          </cell>
          <cell r="K28">
            <v>0</v>
          </cell>
          <cell r="L28">
            <v>0</v>
          </cell>
          <cell r="M28">
            <v>1</v>
          </cell>
          <cell r="N28">
            <v>0</v>
          </cell>
          <cell r="O28">
            <v>0</v>
          </cell>
          <cell r="P28">
            <v>0</v>
          </cell>
          <cell r="Q28">
            <v>0</v>
          </cell>
          <cell r="R28">
            <v>0</v>
          </cell>
          <cell r="S28">
            <v>0</v>
          </cell>
          <cell r="T28">
            <v>0</v>
          </cell>
          <cell r="U28">
            <v>0</v>
          </cell>
          <cell r="V28">
            <v>0</v>
          </cell>
          <cell r="W28">
            <v>0</v>
          </cell>
          <cell r="X28">
            <v>1</v>
          </cell>
          <cell r="Y28">
            <v>1</v>
          </cell>
          <cell r="Z28">
            <v>0</v>
          </cell>
          <cell r="AA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1</v>
          </cell>
          <cell r="T29">
            <v>1</v>
          </cell>
          <cell r="U29">
            <v>0</v>
          </cell>
          <cell r="V29">
            <v>0</v>
          </cell>
          <cell r="W29">
            <v>0</v>
          </cell>
          <cell r="X29">
            <v>1</v>
          </cell>
          <cell r="Y29">
            <v>0</v>
          </cell>
          <cell r="Z29">
            <v>0</v>
          </cell>
          <cell r="AA29">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Unnamed: 0</v>
          </cell>
          <cell r="C1" t="str">
            <v>AH</v>
          </cell>
          <cell r="D1" t="str">
            <v>AMARILLOS</v>
          </cell>
          <cell r="E1" t="str">
            <v>DEMOCRATAS</v>
          </cell>
          <cell r="F1" t="str">
            <v>EVOPOLI</v>
          </cell>
          <cell r="G1" t="str">
            <v>FA</v>
          </cell>
          <cell r="H1" t="str">
            <v>FREVS</v>
          </cell>
          <cell r="I1" t="str">
            <v>IGUALDAD</v>
          </cell>
          <cell r="J1" t="str">
            <v>IND - CANDIDATURAS INDEPENDIENTES</v>
          </cell>
          <cell r="K1" t="str">
            <v>PAVP</v>
          </cell>
          <cell r="L1" t="str">
            <v>PCCH</v>
          </cell>
          <cell r="M1" t="str">
            <v>PDC</v>
          </cell>
          <cell r="N1" t="str">
            <v>PDG</v>
          </cell>
          <cell r="O1" t="str">
            <v>PH</v>
          </cell>
          <cell r="P1" t="str">
            <v>PL</v>
          </cell>
          <cell r="Q1" t="str">
            <v>POPULAR</v>
          </cell>
          <cell r="R1" t="str">
            <v>PPD</v>
          </cell>
          <cell r="S1" t="str">
            <v>PR</v>
          </cell>
          <cell r="T1" t="str">
            <v>PS</v>
          </cell>
          <cell r="U1" t="str">
            <v>PSC</v>
          </cell>
          <cell r="V1" t="str">
            <v>PTR</v>
          </cell>
          <cell r="W1" t="str">
            <v>REPUBLICANO</v>
          </cell>
          <cell r="X1" t="str">
            <v>RN</v>
          </cell>
          <cell r="Y1" t="str">
            <v>UDI</v>
          </cell>
          <cell r="Z1" t="str">
            <v>Votos Blancos</v>
          </cell>
          <cell r="AA1" t="str">
            <v>Votos Nulos</v>
          </cell>
        </row>
        <row r="2">
          <cell r="A2">
            <v>1</v>
          </cell>
          <cell r="B2">
            <v>0</v>
          </cell>
          <cell r="C2">
            <v>0</v>
          </cell>
          <cell r="D2">
            <v>0</v>
          </cell>
          <cell r="E2">
            <v>0</v>
          </cell>
          <cell r="F2">
            <v>0</v>
          </cell>
          <cell r="G2">
            <v>0</v>
          </cell>
          <cell r="H2">
            <v>0</v>
          </cell>
          <cell r="I2">
            <v>0</v>
          </cell>
          <cell r="J2">
            <v>0</v>
          </cell>
          <cell r="K2">
            <v>0</v>
          </cell>
          <cell r="L2">
            <v>1</v>
          </cell>
          <cell r="M2">
            <v>0</v>
          </cell>
          <cell r="N2">
            <v>0</v>
          </cell>
          <cell r="O2">
            <v>0</v>
          </cell>
          <cell r="P2">
            <v>0</v>
          </cell>
          <cell r="Q2">
            <v>0</v>
          </cell>
          <cell r="R2">
            <v>0</v>
          </cell>
          <cell r="S2">
            <v>0</v>
          </cell>
          <cell r="T2">
            <v>1</v>
          </cell>
          <cell r="U2">
            <v>0</v>
          </cell>
          <cell r="V2">
            <v>0</v>
          </cell>
          <cell r="W2">
            <v>1</v>
          </cell>
          <cell r="X2">
            <v>0</v>
          </cell>
          <cell r="Y2">
            <v>0</v>
          </cell>
          <cell r="Z2">
            <v>0</v>
          </cell>
          <cell r="AA2">
            <v>0</v>
          </cell>
        </row>
        <row r="3">
          <cell r="A3">
            <v>2</v>
          </cell>
          <cell r="B3">
            <v>0</v>
          </cell>
          <cell r="C3">
            <v>0</v>
          </cell>
          <cell r="D3">
            <v>0</v>
          </cell>
          <cell r="E3">
            <v>0</v>
          </cell>
          <cell r="F3">
            <v>0</v>
          </cell>
          <cell r="G3">
            <v>1</v>
          </cell>
          <cell r="H3">
            <v>0</v>
          </cell>
          <cell r="I3">
            <v>0</v>
          </cell>
          <cell r="J3">
            <v>0</v>
          </cell>
          <cell r="K3">
            <v>0</v>
          </cell>
          <cell r="L3">
            <v>0</v>
          </cell>
          <cell r="M3">
            <v>1</v>
          </cell>
          <cell r="N3">
            <v>0</v>
          </cell>
          <cell r="O3">
            <v>0</v>
          </cell>
          <cell r="P3">
            <v>0</v>
          </cell>
          <cell r="Q3">
            <v>0</v>
          </cell>
          <cell r="R3">
            <v>0</v>
          </cell>
          <cell r="S3">
            <v>0</v>
          </cell>
          <cell r="T3">
            <v>0</v>
          </cell>
          <cell r="U3">
            <v>0</v>
          </cell>
          <cell r="V3">
            <v>0</v>
          </cell>
          <cell r="W3">
            <v>1</v>
          </cell>
          <cell r="X3">
            <v>0</v>
          </cell>
          <cell r="Y3">
            <v>0</v>
          </cell>
          <cell r="Z3">
            <v>0</v>
          </cell>
          <cell r="AA3">
            <v>0</v>
          </cell>
        </row>
        <row r="4">
          <cell r="A4">
            <v>3</v>
          </cell>
          <cell r="B4">
            <v>0</v>
          </cell>
          <cell r="C4">
            <v>0</v>
          </cell>
          <cell r="D4">
            <v>0</v>
          </cell>
          <cell r="E4">
            <v>0</v>
          </cell>
          <cell r="F4">
            <v>0</v>
          </cell>
          <cell r="G4">
            <v>0</v>
          </cell>
          <cell r="H4">
            <v>1</v>
          </cell>
          <cell r="I4">
            <v>0</v>
          </cell>
          <cell r="J4">
            <v>0</v>
          </cell>
          <cell r="K4">
            <v>0</v>
          </cell>
          <cell r="L4">
            <v>1</v>
          </cell>
          <cell r="M4">
            <v>1</v>
          </cell>
          <cell r="N4">
            <v>0</v>
          </cell>
          <cell r="O4">
            <v>0</v>
          </cell>
          <cell r="P4">
            <v>0</v>
          </cell>
          <cell r="Q4">
            <v>0</v>
          </cell>
          <cell r="R4">
            <v>0</v>
          </cell>
          <cell r="S4">
            <v>0</v>
          </cell>
          <cell r="T4">
            <v>0</v>
          </cell>
          <cell r="U4">
            <v>0</v>
          </cell>
          <cell r="V4">
            <v>0</v>
          </cell>
          <cell r="W4">
            <v>1</v>
          </cell>
          <cell r="X4">
            <v>0</v>
          </cell>
          <cell r="Y4">
            <v>1</v>
          </cell>
          <cell r="Z4">
            <v>0</v>
          </cell>
          <cell r="AA4">
            <v>0</v>
          </cell>
        </row>
        <row r="5">
          <cell r="A5">
            <v>4</v>
          </cell>
          <cell r="B5">
            <v>0</v>
          </cell>
          <cell r="C5">
            <v>0</v>
          </cell>
          <cell r="D5">
            <v>0</v>
          </cell>
          <cell r="E5">
            <v>0</v>
          </cell>
          <cell r="F5">
            <v>0</v>
          </cell>
          <cell r="G5">
            <v>0</v>
          </cell>
          <cell r="H5">
            <v>1</v>
          </cell>
          <cell r="I5">
            <v>0</v>
          </cell>
          <cell r="J5">
            <v>0</v>
          </cell>
          <cell r="K5">
            <v>0</v>
          </cell>
          <cell r="L5">
            <v>1</v>
          </cell>
          <cell r="M5">
            <v>0</v>
          </cell>
          <cell r="N5">
            <v>0</v>
          </cell>
          <cell r="O5">
            <v>0</v>
          </cell>
          <cell r="P5">
            <v>0</v>
          </cell>
          <cell r="Q5">
            <v>0</v>
          </cell>
          <cell r="R5">
            <v>0</v>
          </cell>
          <cell r="S5">
            <v>0</v>
          </cell>
          <cell r="T5">
            <v>1</v>
          </cell>
          <cell r="U5">
            <v>0</v>
          </cell>
          <cell r="V5">
            <v>0</v>
          </cell>
          <cell r="W5">
            <v>1</v>
          </cell>
          <cell r="X5">
            <v>1</v>
          </cell>
          <cell r="Y5">
            <v>0</v>
          </cell>
          <cell r="Z5">
            <v>0</v>
          </cell>
          <cell r="AA5">
            <v>0</v>
          </cell>
        </row>
        <row r="6">
          <cell r="A6">
            <v>5</v>
          </cell>
          <cell r="B6">
            <v>0</v>
          </cell>
          <cell r="C6">
            <v>0</v>
          </cell>
          <cell r="D6">
            <v>0</v>
          </cell>
          <cell r="E6">
            <v>0</v>
          </cell>
          <cell r="F6">
            <v>0</v>
          </cell>
          <cell r="G6">
            <v>1</v>
          </cell>
          <cell r="H6">
            <v>0</v>
          </cell>
          <cell r="I6">
            <v>0</v>
          </cell>
          <cell r="J6">
            <v>0</v>
          </cell>
          <cell r="K6">
            <v>0</v>
          </cell>
          <cell r="L6">
            <v>1</v>
          </cell>
          <cell r="M6">
            <v>1</v>
          </cell>
          <cell r="N6">
            <v>0</v>
          </cell>
          <cell r="O6">
            <v>0</v>
          </cell>
          <cell r="P6">
            <v>0</v>
          </cell>
          <cell r="Q6">
            <v>0</v>
          </cell>
          <cell r="R6">
            <v>0</v>
          </cell>
          <cell r="S6">
            <v>0</v>
          </cell>
          <cell r="T6">
            <v>1</v>
          </cell>
          <cell r="U6">
            <v>0</v>
          </cell>
          <cell r="V6">
            <v>0</v>
          </cell>
          <cell r="W6">
            <v>1</v>
          </cell>
          <cell r="X6">
            <v>1</v>
          </cell>
          <cell r="Y6">
            <v>1</v>
          </cell>
          <cell r="Z6">
            <v>0</v>
          </cell>
          <cell r="AA6">
            <v>0</v>
          </cell>
        </row>
        <row r="7">
          <cell r="A7">
            <v>6</v>
          </cell>
          <cell r="B7">
            <v>0</v>
          </cell>
          <cell r="C7">
            <v>0</v>
          </cell>
          <cell r="D7">
            <v>0</v>
          </cell>
          <cell r="E7">
            <v>0</v>
          </cell>
          <cell r="F7">
            <v>0</v>
          </cell>
          <cell r="G7">
            <v>1</v>
          </cell>
          <cell r="H7">
            <v>0</v>
          </cell>
          <cell r="I7">
            <v>0</v>
          </cell>
          <cell r="J7">
            <v>0</v>
          </cell>
          <cell r="K7">
            <v>0</v>
          </cell>
          <cell r="L7">
            <v>0</v>
          </cell>
          <cell r="M7">
            <v>1</v>
          </cell>
          <cell r="N7">
            <v>0</v>
          </cell>
          <cell r="O7">
            <v>0</v>
          </cell>
          <cell r="P7">
            <v>0</v>
          </cell>
          <cell r="Q7">
            <v>0</v>
          </cell>
          <cell r="R7">
            <v>0</v>
          </cell>
          <cell r="S7">
            <v>0</v>
          </cell>
          <cell r="T7">
            <v>1</v>
          </cell>
          <cell r="U7">
            <v>0</v>
          </cell>
          <cell r="V7">
            <v>0</v>
          </cell>
          <cell r="W7">
            <v>2</v>
          </cell>
          <cell r="X7">
            <v>2</v>
          </cell>
          <cell r="Y7">
            <v>1</v>
          </cell>
          <cell r="Z7">
            <v>0</v>
          </cell>
          <cell r="AA7">
            <v>0</v>
          </cell>
        </row>
        <row r="8">
          <cell r="A8">
            <v>7</v>
          </cell>
          <cell r="B8">
            <v>0</v>
          </cell>
          <cell r="C8">
            <v>0</v>
          </cell>
          <cell r="D8">
            <v>0</v>
          </cell>
          <cell r="E8">
            <v>0</v>
          </cell>
          <cell r="F8">
            <v>0</v>
          </cell>
          <cell r="G8">
            <v>2</v>
          </cell>
          <cell r="H8">
            <v>0</v>
          </cell>
          <cell r="I8">
            <v>0</v>
          </cell>
          <cell r="J8">
            <v>0</v>
          </cell>
          <cell r="K8">
            <v>0</v>
          </cell>
          <cell r="L8">
            <v>1</v>
          </cell>
          <cell r="M8">
            <v>1</v>
          </cell>
          <cell r="N8">
            <v>0</v>
          </cell>
          <cell r="O8">
            <v>0</v>
          </cell>
          <cell r="P8">
            <v>0</v>
          </cell>
          <cell r="Q8">
            <v>0</v>
          </cell>
          <cell r="R8">
            <v>0</v>
          </cell>
          <cell r="S8">
            <v>0</v>
          </cell>
          <cell r="T8">
            <v>0</v>
          </cell>
          <cell r="U8">
            <v>0</v>
          </cell>
          <cell r="V8">
            <v>0</v>
          </cell>
          <cell r="W8">
            <v>2</v>
          </cell>
          <cell r="X8">
            <v>1</v>
          </cell>
          <cell r="Y8">
            <v>1</v>
          </cell>
          <cell r="Z8">
            <v>0</v>
          </cell>
          <cell r="AA8">
            <v>0</v>
          </cell>
        </row>
        <row r="9">
          <cell r="A9">
            <v>8</v>
          </cell>
          <cell r="B9">
            <v>0</v>
          </cell>
          <cell r="C9">
            <v>0</v>
          </cell>
          <cell r="D9">
            <v>0</v>
          </cell>
          <cell r="E9">
            <v>0</v>
          </cell>
          <cell r="F9">
            <v>0</v>
          </cell>
          <cell r="G9">
            <v>2</v>
          </cell>
          <cell r="H9">
            <v>0</v>
          </cell>
          <cell r="I9">
            <v>0</v>
          </cell>
          <cell r="J9">
            <v>0</v>
          </cell>
          <cell r="K9">
            <v>0</v>
          </cell>
          <cell r="L9">
            <v>1</v>
          </cell>
          <cell r="M9">
            <v>1</v>
          </cell>
          <cell r="N9">
            <v>0</v>
          </cell>
          <cell r="O9">
            <v>0</v>
          </cell>
          <cell r="P9">
            <v>0</v>
          </cell>
          <cell r="Q9">
            <v>0</v>
          </cell>
          <cell r="R9">
            <v>0</v>
          </cell>
          <cell r="S9">
            <v>0</v>
          </cell>
          <cell r="T9">
            <v>0</v>
          </cell>
          <cell r="U9">
            <v>0</v>
          </cell>
          <cell r="V9">
            <v>0</v>
          </cell>
          <cell r="W9">
            <v>2</v>
          </cell>
          <cell r="X9">
            <v>1</v>
          </cell>
          <cell r="Y9">
            <v>1</v>
          </cell>
          <cell r="Z9">
            <v>0</v>
          </cell>
          <cell r="AA9">
            <v>0</v>
          </cell>
        </row>
        <row r="10">
          <cell r="A10">
            <v>9</v>
          </cell>
          <cell r="B10">
            <v>0</v>
          </cell>
          <cell r="C10">
            <v>0</v>
          </cell>
          <cell r="D10">
            <v>0</v>
          </cell>
          <cell r="E10">
            <v>0</v>
          </cell>
          <cell r="F10">
            <v>0</v>
          </cell>
          <cell r="G10">
            <v>1</v>
          </cell>
          <cell r="H10">
            <v>0</v>
          </cell>
          <cell r="I10">
            <v>0</v>
          </cell>
          <cell r="J10">
            <v>0</v>
          </cell>
          <cell r="K10">
            <v>0</v>
          </cell>
          <cell r="L10">
            <v>1</v>
          </cell>
          <cell r="M10">
            <v>0</v>
          </cell>
          <cell r="N10">
            <v>0</v>
          </cell>
          <cell r="O10">
            <v>0</v>
          </cell>
          <cell r="P10">
            <v>0</v>
          </cell>
          <cell r="Q10">
            <v>0</v>
          </cell>
          <cell r="R10">
            <v>1</v>
          </cell>
          <cell r="S10">
            <v>0</v>
          </cell>
          <cell r="T10">
            <v>1</v>
          </cell>
          <cell r="U10">
            <v>0</v>
          </cell>
          <cell r="V10">
            <v>0</v>
          </cell>
          <cell r="W10">
            <v>1</v>
          </cell>
          <cell r="X10">
            <v>1</v>
          </cell>
          <cell r="Y10">
            <v>1</v>
          </cell>
          <cell r="Z10">
            <v>0</v>
          </cell>
          <cell r="AA10">
            <v>0</v>
          </cell>
        </row>
        <row r="11">
          <cell r="A11">
            <v>10</v>
          </cell>
          <cell r="B11">
            <v>0</v>
          </cell>
          <cell r="C11">
            <v>0</v>
          </cell>
          <cell r="D11">
            <v>0</v>
          </cell>
          <cell r="E11">
            <v>0</v>
          </cell>
          <cell r="F11">
            <v>0</v>
          </cell>
          <cell r="G11">
            <v>3</v>
          </cell>
          <cell r="H11">
            <v>0</v>
          </cell>
          <cell r="I11">
            <v>0</v>
          </cell>
          <cell r="J11">
            <v>0</v>
          </cell>
          <cell r="K11">
            <v>0</v>
          </cell>
          <cell r="L11">
            <v>1</v>
          </cell>
          <cell r="M11">
            <v>0</v>
          </cell>
          <cell r="N11">
            <v>0</v>
          </cell>
          <cell r="O11">
            <v>0</v>
          </cell>
          <cell r="P11">
            <v>0</v>
          </cell>
          <cell r="Q11">
            <v>0</v>
          </cell>
          <cell r="R11">
            <v>0</v>
          </cell>
          <cell r="S11">
            <v>0</v>
          </cell>
          <cell r="T11">
            <v>1</v>
          </cell>
          <cell r="U11">
            <v>0</v>
          </cell>
          <cell r="V11">
            <v>0</v>
          </cell>
          <cell r="W11">
            <v>1</v>
          </cell>
          <cell r="X11">
            <v>1</v>
          </cell>
          <cell r="Y11">
            <v>1</v>
          </cell>
          <cell r="Z11">
            <v>0</v>
          </cell>
          <cell r="AA11">
            <v>0</v>
          </cell>
        </row>
        <row r="12">
          <cell r="A12">
            <v>11</v>
          </cell>
          <cell r="B12">
            <v>0</v>
          </cell>
          <cell r="C12">
            <v>0</v>
          </cell>
          <cell r="D12">
            <v>0</v>
          </cell>
          <cell r="E12">
            <v>0</v>
          </cell>
          <cell r="F12">
            <v>1</v>
          </cell>
          <cell r="G12">
            <v>1</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2</v>
          </cell>
          <cell r="X12">
            <v>1</v>
          </cell>
          <cell r="Y12">
            <v>1</v>
          </cell>
          <cell r="Z12">
            <v>0</v>
          </cell>
          <cell r="AA12">
            <v>0</v>
          </cell>
        </row>
        <row r="13">
          <cell r="A13">
            <v>12</v>
          </cell>
          <cell r="B13">
            <v>0</v>
          </cell>
          <cell r="C13">
            <v>0</v>
          </cell>
          <cell r="D13">
            <v>0</v>
          </cell>
          <cell r="E13">
            <v>0</v>
          </cell>
          <cell r="F13">
            <v>0</v>
          </cell>
          <cell r="G13">
            <v>1</v>
          </cell>
          <cell r="H13">
            <v>0</v>
          </cell>
          <cell r="I13">
            <v>0</v>
          </cell>
          <cell r="J13">
            <v>0</v>
          </cell>
          <cell r="K13">
            <v>0</v>
          </cell>
          <cell r="L13">
            <v>1</v>
          </cell>
          <cell r="M13">
            <v>0</v>
          </cell>
          <cell r="N13">
            <v>0</v>
          </cell>
          <cell r="O13">
            <v>0</v>
          </cell>
          <cell r="P13">
            <v>0</v>
          </cell>
          <cell r="Q13">
            <v>0</v>
          </cell>
          <cell r="R13">
            <v>0</v>
          </cell>
          <cell r="S13">
            <v>0</v>
          </cell>
          <cell r="T13">
            <v>1</v>
          </cell>
          <cell r="U13">
            <v>0</v>
          </cell>
          <cell r="V13">
            <v>0</v>
          </cell>
          <cell r="W13">
            <v>1</v>
          </cell>
          <cell r="X13">
            <v>2</v>
          </cell>
          <cell r="Y13">
            <v>1</v>
          </cell>
          <cell r="Z13">
            <v>0</v>
          </cell>
          <cell r="AA13">
            <v>0</v>
          </cell>
        </row>
        <row r="14">
          <cell r="A14">
            <v>13</v>
          </cell>
          <cell r="B14">
            <v>0</v>
          </cell>
          <cell r="C14">
            <v>0</v>
          </cell>
          <cell r="D14">
            <v>0</v>
          </cell>
          <cell r="E14">
            <v>0</v>
          </cell>
          <cell r="F14">
            <v>0</v>
          </cell>
          <cell r="G14">
            <v>1</v>
          </cell>
          <cell r="H14">
            <v>0</v>
          </cell>
          <cell r="I14">
            <v>0</v>
          </cell>
          <cell r="J14">
            <v>0</v>
          </cell>
          <cell r="K14">
            <v>0</v>
          </cell>
          <cell r="L14">
            <v>1</v>
          </cell>
          <cell r="M14">
            <v>0</v>
          </cell>
          <cell r="N14">
            <v>0</v>
          </cell>
          <cell r="O14">
            <v>0</v>
          </cell>
          <cell r="P14">
            <v>0</v>
          </cell>
          <cell r="Q14">
            <v>0</v>
          </cell>
          <cell r="R14">
            <v>0</v>
          </cell>
          <cell r="S14">
            <v>0</v>
          </cell>
          <cell r="T14">
            <v>1</v>
          </cell>
          <cell r="U14">
            <v>0</v>
          </cell>
          <cell r="V14">
            <v>0</v>
          </cell>
          <cell r="W14">
            <v>1</v>
          </cell>
          <cell r="X14">
            <v>1</v>
          </cell>
          <cell r="Y14">
            <v>0</v>
          </cell>
          <cell r="Z14">
            <v>0</v>
          </cell>
          <cell r="AA14">
            <v>0</v>
          </cell>
        </row>
        <row r="15">
          <cell r="A15">
            <v>14</v>
          </cell>
          <cell r="B15">
            <v>0</v>
          </cell>
          <cell r="C15">
            <v>0</v>
          </cell>
          <cell r="D15">
            <v>0</v>
          </cell>
          <cell r="E15">
            <v>0</v>
          </cell>
          <cell r="F15">
            <v>0</v>
          </cell>
          <cell r="G15">
            <v>1</v>
          </cell>
          <cell r="H15">
            <v>0</v>
          </cell>
          <cell r="I15">
            <v>0</v>
          </cell>
          <cell r="J15">
            <v>0</v>
          </cell>
          <cell r="K15">
            <v>0</v>
          </cell>
          <cell r="L15">
            <v>0</v>
          </cell>
          <cell r="M15">
            <v>0</v>
          </cell>
          <cell r="N15">
            <v>0</v>
          </cell>
          <cell r="O15">
            <v>0</v>
          </cell>
          <cell r="P15">
            <v>0</v>
          </cell>
          <cell r="Q15">
            <v>0</v>
          </cell>
          <cell r="R15">
            <v>0</v>
          </cell>
          <cell r="S15">
            <v>0</v>
          </cell>
          <cell r="T15">
            <v>2</v>
          </cell>
          <cell r="U15">
            <v>0</v>
          </cell>
          <cell r="V15">
            <v>0</v>
          </cell>
          <cell r="W15">
            <v>1</v>
          </cell>
          <cell r="X15">
            <v>0</v>
          </cell>
          <cell r="Y15">
            <v>2</v>
          </cell>
          <cell r="Z15">
            <v>0</v>
          </cell>
          <cell r="AA15">
            <v>0</v>
          </cell>
        </row>
        <row r="16">
          <cell r="A16">
            <v>15</v>
          </cell>
          <cell r="B16">
            <v>0</v>
          </cell>
          <cell r="C16">
            <v>0</v>
          </cell>
          <cell r="D16">
            <v>0</v>
          </cell>
          <cell r="E16">
            <v>0</v>
          </cell>
          <cell r="F16">
            <v>0</v>
          </cell>
          <cell r="G16">
            <v>1</v>
          </cell>
          <cell r="H16">
            <v>0</v>
          </cell>
          <cell r="I16">
            <v>0</v>
          </cell>
          <cell r="J16">
            <v>0</v>
          </cell>
          <cell r="K16">
            <v>0</v>
          </cell>
          <cell r="L16">
            <v>0</v>
          </cell>
          <cell r="M16">
            <v>0</v>
          </cell>
          <cell r="N16">
            <v>0</v>
          </cell>
          <cell r="O16">
            <v>0</v>
          </cell>
          <cell r="P16">
            <v>0</v>
          </cell>
          <cell r="Q16">
            <v>0</v>
          </cell>
          <cell r="R16">
            <v>1</v>
          </cell>
          <cell r="S16">
            <v>0</v>
          </cell>
          <cell r="T16">
            <v>1</v>
          </cell>
          <cell r="U16">
            <v>0</v>
          </cell>
          <cell r="V16">
            <v>0</v>
          </cell>
          <cell r="W16">
            <v>1</v>
          </cell>
          <cell r="X16">
            <v>1</v>
          </cell>
          <cell r="Y16">
            <v>0</v>
          </cell>
          <cell r="Z16">
            <v>0</v>
          </cell>
          <cell r="AA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1</v>
          </cell>
          <cell r="U17">
            <v>0</v>
          </cell>
          <cell r="V17">
            <v>0</v>
          </cell>
          <cell r="W17">
            <v>1</v>
          </cell>
          <cell r="X17">
            <v>1</v>
          </cell>
          <cell r="Y17">
            <v>1</v>
          </cell>
          <cell r="Z17">
            <v>0</v>
          </cell>
          <cell r="AA17">
            <v>0</v>
          </cell>
        </row>
        <row r="18">
          <cell r="A18">
            <v>17</v>
          </cell>
          <cell r="B18">
            <v>0</v>
          </cell>
          <cell r="C18">
            <v>0</v>
          </cell>
          <cell r="D18">
            <v>0</v>
          </cell>
          <cell r="E18">
            <v>0</v>
          </cell>
          <cell r="F18">
            <v>0</v>
          </cell>
          <cell r="G18">
            <v>1</v>
          </cell>
          <cell r="H18">
            <v>0</v>
          </cell>
          <cell r="I18">
            <v>0</v>
          </cell>
          <cell r="J18">
            <v>0</v>
          </cell>
          <cell r="K18">
            <v>0</v>
          </cell>
          <cell r="L18">
            <v>0</v>
          </cell>
          <cell r="M18">
            <v>1</v>
          </cell>
          <cell r="N18">
            <v>0</v>
          </cell>
          <cell r="O18">
            <v>0</v>
          </cell>
          <cell r="P18">
            <v>0</v>
          </cell>
          <cell r="Q18">
            <v>0</v>
          </cell>
          <cell r="R18">
            <v>0</v>
          </cell>
          <cell r="S18">
            <v>1</v>
          </cell>
          <cell r="T18">
            <v>0</v>
          </cell>
          <cell r="U18">
            <v>0</v>
          </cell>
          <cell r="V18">
            <v>0</v>
          </cell>
          <cell r="W18">
            <v>1</v>
          </cell>
          <cell r="X18">
            <v>1</v>
          </cell>
          <cell r="Y18">
            <v>2</v>
          </cell>
          <cell r="Z18">
            <v>0</v>
          </cell>
          <cell r="AA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1</v>
          </cell>
          <cell r="S19">
            <v>0</v>
          </cell>
          <cell r="T19">
            <v>0</v>
          </cell>
          <cell r="U19">
            <v>0</v>
          </cell>
          <cell r="V19">
            <v>0</v>
          </cell>
          <cell r="W19">
            <v>1</v>
          </cell>
          <cell r="X19">
            <v>1</v>
          </cell>
          <cell r="Y19">
            <v>1</v>
          </cell>
          <cell r="Z19">
            <v>0</v>
          </cell>
          <cell r="AA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1</v>
          </cell>
          <cell r="U20">
            <v>0</v>
          </cell>
          <cell r="V20">
            <v>0</v>
          </cell>
          <cell r="W20">
            <v>1</v>
          </cell>
          <cell r="X20">
            <v>1</v>
          </cell>
          <cell r="Y20">
            <v>2</v>
          </cell>
          <cell r="Z20">
            <v>0</v>
          </cell>
          <cell r="AA20">
            <v>0</v>
          </cell>
        </row>
        <row r="21">
          <cell r="A21">
            <v>20</v>
          </cell>
          <cell r="B21">
            <v>0</v>
          </cell>
          <cell r="C21">
            <v>0</v>
          </cell>
          <cell r="D21">
            <v>0</v>
          </cell>
          <cell r="E21">
            <v>0</v>
          </cell>
          <cell r="F21">
            <v>0</v>
          </cell>
          <cell r="G21">
            <v>0</v>
          </cell>
          <cell r="H21">
            <v>1</v>
          </cell>
          <cell r="I21">
            <v>0</v>
          </cell>
          <cell r="J21">
            <v>0</v>
          </cell>
          <cell r="K21">
            <v>0</v>
          </cell>
          <cell r="L21">
            <v>1</v>
          </cell>
          <cell r="M21">
            <v>1</v>
          </cell>
          <cell r="N21">
            <v>0</v>
          </cell>
          <cell r="O21">
            <v>0</v>
          </cell>
          <cell r="P21">
            <v>0</v>
          </cell>
          <cell r="Q21">
            <v>0</v>
          </cell>
          <cell r="R21">
            <v>0</v>
          </cell>
          <cell r="S21">
            <v>0</v>
          </cell>
          <cell r="T21">
            <v>1</v>
          </cell>
          <cell r="U21">
            <v>1</v>
          </cell>
          <cell r="V21">
            <v>0</v>
          </cell>
          <cell r="W21">
            <v>2</v>
          </cell>
          <cell r="X21">
            <v>0</v>
          </cell>
          <cell r="Y21">
            <v>1</v>
          </cell>
          <cell r="Z21">
            <v>0</v>
          </cell>
          <cell r="AA21">
            <v>0</v>
          </cell>
        </row>
        <row r="22">
          <cell r="A22">
            <v>21</v>
          </cell>
          <cell r="B22">
            <v>0</v>
          </cell>
          <cell r="C22">
            <v>0</v>
          </cell>
          <cell r="D22">
            <v>0</v>
          </cell>
          <cell r="E22">
            <v>0</v>
          </cell>
          <cell r="F22">
            <v>0</v>
          </cell>
          <cell r="G22">
            <v>0</v>
          </cell>
          <cell r="H22">
            <v>0</v>
          </cell>
          <cell r="I22">
            <v>0</v>
          </cell>
          <cell r="J22">
            <v>0</v>
          </cell>
          <cell r="K22">
            <v>0</v>
          </cell>
          <cell r="L22">
            <v>1</v>
          </cell>
          <cell r="M22">
            <v>1</v>
          </cell>
          <cell r="N22">
            <v>0</v>
          </cell>
          <cell r="O22">
            <v>0</v>
          </cell>
          <cell r="P22">
            <v>0</v>
          </cell>
          <cell r="Q22">
            <v>0</v>
          </cell>
          <cell r="R22">
            <v>0</v>
          </cell>
          <cell r="S22">
            <v>0</v>
          </cell>
          <cell r="T22">
            <v>0</v>
          </cell>
          <cell r="U22">
            <v>0</v>
          </cell>
          <cell r="V22">
            <v>0</v>
          </cell>
          <cell r="W22">
            <v>1</v>
          </cell>
          <cell r="X22">
            <v>1</v>
          </cell>
          <cell r="Y22">
            <v>1</v>
          </cell>
          <cell r="Z22">
            <v>0</v>
          </cell>
          <cell r="AA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1</v>
          </cell>
          <cell r="S23">
            <v>0</v>
          </cell>
          <cell r="T23">
            <v>0</v>
          </cell>
          <cell r="U23">
            <v>0</v>
          </cell>
          <cell r="V23">
            <v>0</v>
          </cell>
          <cell r="W23">
            <v>1</v>
          </cell>
          <cell r="X23">
            <v>1</v>
          </cell>
          <cell r="Y23">
            <v>1</v>
          </cell>
          <cell r="Z23">
            <v>0</v>
          </cell>
          <cell r="AA23">
            <v>0</v>
          </cell>
        </row>
        <row r="24">
          <cell r="A24">
            <v>23</v>
          </cell>
          <cell r="B24">
            <v>0</v>
          </cell>
          <cell r="C24">
            <v>0</v>
          </cell>
          <cell r="D24">
            <v>0</v>
          </cell>
          <cell r="E24">
            <v>0</v>
          </cell>
          <cell r="F24">
            <v>0</v>
          </cell>
          <cell r="G24">
            <v>1</v>
          </cell>
          <cell r="H24">
            <v>0</v>
          </cell>
          <cell r="I24">
            <v>0</v>
          </cell>
          <cell r="J24">
            <v>0</v>
          </cell>
          <cell r="K24">
            <v>0</v>
          </cell>
          <cell r="L24">
            <v>0</v>
          </cell>
          <cell r="M24">
            <v>1</v>
          </cell>
          <cell r="N24">
            <v>0</v>
          </cell>
          <cell r="O24">
            <v>0</v>
          </cell>
          <cell r="P24">
            <v>0</v>
          </cell>
          <cell r="Q24">
            <v>0</v>
          </cell>
          <cell r="R24">
            <v>1</v>
          </cell>
          <cell r="S24">
            <v>0</v>
          </cell>
          <cell r="T24">
            <v>0</v>
          </cell>
          <cell r="U24">
            <v>0</v>
          </cell>
          <cell r="V24">
            <v>0</v>
          </cell>
          <cell r="W24">
            <v>1</v>
          </cell>
          <cell r="X24">
            <v>2</v>
          </cell>
          <cell r="Y24">
            <v>1</v>
          </cell>
          <cell r="Z24">
            <v>0</v>
          </cell>
          <cell r="AA24">
            <v>0</v>
          </cell>
        </row>
        <row r="25">
          <cell r="A25">
            <v>24</v>
          </cell>
          <cell r="B25">
            <v>0</v>
          </cell>
          <cell r="C25">
            <v>0</v>
          </cell>
          <cell r="D25">
            <v>0</v>
          </cell>
          <cell r="E25">
            <v>0</v>
          </cell>
          <cell r="F25">
            <v>0</v>
          </cell>
          <cell r="G25">
            <v>1</v>
          </cell>
          <cell r="H25">
            <v>0</v>
          </cell>
          <cell r="I25">
            <v>0</v>
          </cell>
          <cell r="J25">
            <v>0</v>
          </cell>
          <cell r="K25">
            <v>0</v>
          </cell>
          <cell r="L25">
            <v>0</v>
          </cell>
          <cell r="M25">
            <v>0</v>
          </cell>
          <cell r="N25">
            <v>0</v>
          </cell>
          <cell r="O25">
            <v>0</v>
          </cell>
          <cell r="P25">
            <v>0</v>
          </cell>
          <cell r="Q25">
            <v>0</v>
          </cell>
          <cell r="R25">
            <v>1</v>
          </cell>
          <cell r="S25">
            <v>0</v>
          </cell>
          <cell r="T25">
            <v>1</v>
          </cell>
          <cell r="U25">
            <v>0</v>
          </cell>
          <cell r="V25">
            <v>0</v>
          </cell>
          <cell r="W25">
            <v>1</v>
          </cell>
          <cell r="X25">
            <v>1</v>
          </cell>
          <cell r="Y25">
            <v>0</v>
          </cell>
          <cell r="Z25">
            <v>0</v>
          </cell>
          <cell r="AA25">
            <v>0</v>
          </cell>
        </row>
        <row r="26">
          <cell r="A26">
            <v>25</v>
          </cell>
          <cell r="B26">
            <v>0</v>
          </cell>
          <cell r="C26">
            <v>0</v>
          </cell>
          <cell r="D26">
            <v>0</v>
          </cell>
          <cell r="E26">
            <v>0</v>
          </cell>
          <cell r="F26">
            <v>0</v>
          </cell>
          <cell r="G26">
            <v>0</v>
          </cell>
          <cell r="H26">
            <v>0</v>
          </cell>
          <cell r="I26">
            <v>0</v>
          </cell>
          <cell r="J26">
            <v>0</v>
          </cell>
          <cell r="K26">
            <v>0</v>
          </cell>
          <cell r="L26">
            <v>0</v>
          </cell>
          <cell r="M26">
            <v>1</v>
          </cell>
          <cell r="N26">
            <v>0</v>
          </cell>
          <cell r="O26">
            <v>0</v>
          </cell>
          <cell r="P26">
            <v>0</v>
          </cell>
          <cell r="Q26">
            <v>0</v>
          </cell>
          <cell r="R26">
            <v>0</v>
          </cell>
          <cell r="S26">
            <v>0</v>
          </cell>
          <cell r="T26">
            <v>1</v>
          </cell>
          <cell r="U26">
            <v>0</v>
          </cell>
          <cell r="V26">
            <v>0</v>
          </cell>
          <cell r="W26">
            <v>1</v>
          </cell>
          <cell r="X26">
            <v>0</v>
          </cell>
          <cell r="Y26">
            <v>1</v>
          </cell>
          <cell r="Z26">
            <v>0</v>
          </cell>
          <cell r="AA26">
            <v>0</v>
          </cell>
        </row>
        <row r="27">
          <cell r="A27">
            <v>26</v>
          </cell>
          <cell r="B27">
            <v>0</v>
          </cell>
          <cell r="C27">
            <v>0</v>
          </cell>
          <cell r="D27">
            <v>0</v>
          </cell>
          <cell r="E27">
            <v>0</v>
          </cell>
          <cell r="F27">
            <v>0</v>
          </cell>
          <cell r="G27">
            <v>1</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0</v>
          </cell>
          <cell r="W27">
            <v>1</v>
          </cell>
          <cell r="X27">
            <v>1</v>
          </cell>
          <cell r="Y27">
            <v>1</v>
          </cell>
          <cell r="Z27">
            <v>0</v>
          </cell>
          <cell r="AA27">
            <v>0</v>
          </cell>
        </row>
        <row r="28">
          <cell r="A28">
            <v>27</v>
          </cell>
          <cell r="B28">
            <v>0</v>
          </cell>
          <cell r="C28">
            <v>0</v>
          </cell>
          <cell r="D28">
            <v>0</v>
          </cell>
          <cell r="E28">
            <v>0</v>
          </cell>
          <cell r="F28">
            <v>0</v>
          </cell>
          <cell r="G28">
            <v>0</v>
          </cell>
          <cell r="H28">
            <v>0</v>
          </cell>
          <cell r="I28">
            <v>0</v>
          </cell>
          <cell r="J28">
            <v>0</v>
          </cell>
          <cell r="K28">
            <v>0</v>
          </cell>
          <cell r="L28">
            <v>0</v>
          </cell>
          <cell r="M28">
            <v>1</v>
          </cell>
          <cell r="N28">
            <v>0</v>
          </cell>
          <cell r="O28">
            <v>0</v>
          </cell>
          <cell r="P28">
            <v>0</v>
          </cell>
          <cell r="Q28">
            <v>0</v>
          </cell>
          <cell r="R28">
            <v>0</v>
          </cell>
          <cell r="S28">
            <v>0</v>
          </cell>
          <cell r="T28">
            <v>0</v>
          </cell>
          <cell r="U28">
            <v>0</v>
          </cell>
          <cell r="V28">
            <v>0</v>
          </cell>
          <cell r="W28">
            <v>0</v>
          </cell>
          <cell r="X28">
            <v>1</v>
          </cell>
          <cell r="Y28">
            <v>1</v>
          </cell>
          <cell r="Z28">
            <v>0</v>
          </cell>
          <cell r="AA28">
            <v>0</v>
          </cell>
        </row>
        <row r="29">
          <cell r="A29">
            <v>28</v>
          </cell>
          <cell r="B29">
            <v>0</v>
          </cell>
          <cell r="C29">
            <v>0</v>
          </cell>
          <cell r="D29">
            <v>0</v>
          </cell>
          <cell r="E29">
            <v>0</v>
          </cell>
          <cell r="F29">
            <v>0</v>
          </cell>
          <cell r="G29">
            <v>1</v>
          </cell>
          <cell r="H29">
            <v>0</v>
          </cell>
          <cell r="I29">
            <v>0</v>
          </cell>
          <cell r="J29">
            <v>0</v>
          </cell>
          <cell r="K29">
            <v>0</v>
          </cell>
          <cell r="L29">
            <v>0</v>
          </cell>
          <cell r="M29">
            <v>1</v>
          </cell>
          <cell r="N29">
            <v>0</v>
          </cell>
          <cell r="O29">
            <v>0</v>
          </cell>
          <cell r="P29">
            <v>0</v>
          </cell>
          <cell r="Q29">
            <v>0</v>
          </cell>
          <cell r="R29">
            <v>0</v>
          </cell>
          <cell r="S29">
            <v>0</v>
          </cell>
          <cell r="T29">
            <v>1</v>
          </cell>
          <cell r="U29">
            <v>0</v>
          </cell>
          <cell r="V29">
            <v>0</v>
          </cell>
          <cell r="W29">
            <v>0</v>
          </cell>
          <cell r="X29">
            <v>0</v>
          </cell>
          <cell r="Y29">
            <v>0</v>
          </cell>
          <cell r="Z29">
            <v>0</v>
          </cell>
          <cell r="AA29">
            <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Unnamed: 0</v>
          </cell>
          <cell r="C1" t="str">
            <v>AH</v>
          </cell>
          <cell r="D1" t="str">
            <v>AMARILLOS</v>
          </cell>
          <cell r="E1" t="str">
            <v>DEMOCRATAS</v>
          </cell>
          <cell r="F1" t="str">
            <v>EVOPOLI</v>
          </cell>
          <cell r="G1" t="str">
            <v>FA</v>
          </cell>
          <cell r="H1" t="str">
            <v>FREVS</v>
          </cell>
          <cell r="I1" t="str">
            <v>IGUALDAD</v>
          </cell>
          <cell r="J1" t="str">
            <v>IND - CANDIDATURAS INDEPENDIENTES</v>
          </cell>
          <cell r="K1" t="str">
            <v>PAVP</v>
          </cell>
          <cell r="L1" t="str">
            <v>PCCH</v>
          </cell>
          <cell r="M1" t="str">
            <v>PDC</v>
          </cell>
          <cell r="N1" t="str">
            <v>PDG</v>
          </cell>
          <cell r="O1" t="str">
            <v>PH</v>
          </cell>
          <cell r="P1" t="str">
            <v>PL</v>
          </cell>
          <cell r="Q1" t="str">
            <v>POPULAR</v>
          </cell>
          <cell r="R1" t="str">
            <v>PPD</v>
          </cell>
          <cell r="S1" t="str">
            <v>PR</v>
          </cell>
          <cell r="T1" t="str">
            <v>PS</v>
          </cell>
          <cell r="U1" t="str">
            <v>PSC</v>
          </cell>
          <cell r="V1" t="str">
            <v>PTR</v>
          </cell>
          <cell r="W1" t="str">
            <v>REPUBLICANO</v>
          </cell>
          <cell r="X1" t="str">
            <v>RN</v>
          </cell>
          <cell r="Y1" t="str">
            <v>UDI</v>
          </cell>
          <cell r="Z1" t="str">
            <v>Votos Blancos</v>
          </cell>
          <cell r="AA1" t="str">
            <v>Votos Nulos</v>
          </cell>
        </row>
        <row r="2">
          <cell r="A2">
            <v>1</v>
          </cell>
          <cell r="B2">
            <v>0</v>
          </cell>
          <cell r="C2">
            <v>0</v>
          </cell>
          <cell r="D2">
            <v>0</v>
          </cell>
          <cell r="E2">
            <v>0</v>
          </cell>
          <cell r="F2">
            <v>0</v>
          </cell>
          <cell r="G2">
            <v>0</v>
          </cell>
          <cell r="H2">
            <v>0</v>
          </cell>
          <cell r="I2">
            <v>0</v>
          </cell>
          <cell r="J2">
            <v>0</v>
          </cell>
          <cell r="K2">
            <v>0</v>
          </cell>
          <cell r="L2">
            <v>1</v>
          </cell>
          <cell r="M2">
            <v>0</v>
          </cell>
          <cell r="N2">
            <v>0</v>
          </cell>
          <cell r="O2">
            <v>0</v>
          </cell>
          <cell r="P2">
            <v>0</v>
          </cell>
          <cell r="Q2">
            <v>0</v>
          </cell>
          <cell r="R2">
            <v>0</v>
          </cell>
          <cell r="S2">
            <v>0</v>
          </cell>
          <cell r="T2">
            <v>0</v>
          </cell>
          <cell r="U2">
            <v>0</v>
          </cell>
          <cell r="V2">
            <v>0</v>
          </cell>
          <cell r="W2">
            <v>1</v>
          </cell>
          <cell r="X2">
            <v>1</v>
          </cell>
          <cell r="Y2">
            <v>0</v>
          </cell>
          <cell r="Z2">
            <v>0</v>
          </cell>
          <cell r="AA2">
            <v>0</v>
          </cell>
        </row>
        <row r="3">
          <cell r="A3">
            <v>2</v>
          </cell>
          <cell r="B3">
            <v>0</v>
          </cell>
          <cell r="C3">
            <v>0</v>
          </cell>
          <cell r="D3">
            <v>0</v>
          </cell>
          <cell r="E3">
            <v>0</v>
          </cell>
          <cell r="F3">
            <v>0</v>
          </cell>
          <cell r="G3">
            <v>0</v>
          </cell>
          <cell r="H3">
            <v>0</v>
          </cell>
          <cell r="I3">
            <v>0</v>
          </cell>
          <cell r="J3">
            <v>0</v>
          </cell>
          <cell r="K3">
            <v>0</v>
          </cell>
          <cell r="L3">
            <v>0</v>
          </cell>
          <cell r="M3">
            <v>1</v>
          </cell>
          <cell r="N3">
            <v>0</v>
          </cell>
          <cell r="O3">
            <v>0</v>
          </cell>
          <cell r="P3">
            <v>0</v>
          </cell>
          <cell r="Q3">
            <v>0</v>
          </cell>
          <cell r="R3">
            <v>0</v>
          </cell>
          <cell r="S3">
            <v>0</v>
          </cell>
          <cell r="T3">
            <v>0</v>
          </cell>
          <cell r="U3">
            <v>0</v>
          </cell>
          <cell r="V3">
            <v>0</v>
          </cell>
          <cell r="W3">
            <v>1</v>
          </cell>
          <cell r="X3">
            <v>1</v>
          </cell>
          <cell r="Y3">
            <v>0</v>
          </cell>
          <cell r="Z3">
            <v>0</v>
          </cell>
          <cell r="AA3">
            <v>0</v>
          </cell>
        </row>
        <row r="4">
          <cell r="A4">
            <v>3</v>
          </cell>
          <cell r="B4">
            <v>0</v>
          </cell>
          <cell r="C4">
            <v>0</v>
          </cell>
          <cell r="D4">
            <v>0</v>
          </cell>
          <cell r="E4">
            <v>0</v>
          </cell>
          <cell r="F4">
            <v>0</v>
          </cell>
          <cell r="G4">
            <v>0</v>
          </cell>
          <cell r="H4">
            <v>1</v>
          </cell>
          <cell r="I4">
            <v>0</v>
          </cell>
          <cell r="J4">
            <v>0</v>
          </cell>
          <cell r="K4">
            <v>0</v>
          </cell>
          <cell r="L4">
            <v>1</v>
          </cell>
          <cell r="M4">
            <v>0</v>
          </cell>
          <cell r="N4">
            <v>0</v>
          </cell>
          <cell r="O4">
            <v>0</v>
          </cell>
          <cell r="P4">
            <v>0</v>
          </cell>
          <cell r="Q4">
            <v>0</v>
          </cell>
          <cell r="R4">
            <v>0</v>
          </cell>
          <cell r="S4">
            <v>1</v>
          </cell>
          <cell r="T4">
            <v>0</v>
          </cell>
          <cell r="U4">
            <v>0</v>
          </cell>
          <cell r="V4">
            <v>0</v>
          </cell>
          <cell r="W4">
            <v>1</v>
          </cell>
          <cell r="X4">
            <v>1</v>
          </cell>
          <cell r="Y4">
            <v>0</v>
          </cell>
          <cell r="Z4">
            <v>0</v>
          </cell>
          <cell r="AA4">
            <v>0</v>
          </cell>
        </row>
        <row r="5">
          <cell r="A5">
            <v>4</v>
          </cell>
          <cell r="B5">
            <v>0</v>
          </cell>
          <cell r="C5">
            <v>0</v>
          </cell>
          <cell r="D5">
            <v>0</v>
          </cell>
          <cell r="E5">
            <v>0</v>
          </cell>
          <cell r="F5">
            <v>0</v>
          </cell>
          <cell r="G5">
            <v>0</v>
          </cell>
          <cell r="H5">
            <v>1</v>
          </cell>
          <cell r="I5">
            <v>0</v>
          </cell>
          <cell r="J5">
            <v>0</v>
          </cell>
          <cell r="K5">
            <v>0</v>
          </cell>
          <cell r="L5">
            <v>1</v>
          </cell>
          <cell r="M5">
            <v>0</v>
          </cell>
          <cell r="N5">
            <v>0</v>
          </cell>
          <cell r="O5">
            <v>0</v>
          </cell>
          <cell r="P5">
            <v>0</v>
          </cell>
          <cell r="Q5">
            <v>0</v>
          </cell>
          <cell r="R5">
            <v>0</v>
          </cell>
          <cell r="S5">
            <v>0</v>
          </cell>
          <cell r="T5">
            <v>1</v>
          </cell>
          <cell r="U5">
            <v>0</v>
          </cell>
          <cell r="V5">
            <v>0</v>
          </cell>
          <cell r="W5">
            <v>1</v>
          </cell>
          <cell r="X5">
            <v>1</v>
          </cell>
          <cell r="Y5">
            <v>0</v>
          </cell>
          <cell r="Z5">
            <v>0</v>
          </cell>
          <cell r="AA5">
            <v>0</v>
          </cell>
        </row>
        <row r="6">
          <cell r="A6">
            <v>5</v>
          </cell>
          <cell r="B6">
            <v>0</v>
          </cell>
          <cell r="C6">
            <v>0</v>
          </cell>
          <cell r="D6">
            <v>0</v>
          </cell>
          <cell r="E6">
            <v>0</v>
          </cell>
          <cell r="F6">
            <v>0</v>
          </cell>
          <cell r="G6">
            <v>1</v>
          </cell>
          <cell r="H6">
            <v>0</v>
          </cell>
          <cell r="I6">
            <v>0</v>
          </cell>
          <cell r="J6">
            <v>0</v>
          </cell>
          <cell r="K6">
            <v>0</v>
          </cell>
          <cell r="L6">
            <v>1</v>
          </cell>
          <cell r="M6">
            <v>1</v>
          </cell>
          <cell r="N6">
            <v>0</v>
          </cell>
          <cell r="O6">
            <v>0</v>
          </cell>
          <cell r="P6">
            <v>0</v>
          </cell>
          <cell r="Q6">
            <v>0</v>
          </cell>
          <cell r="R6">
            <v>0</v>
          </cell>
          <cell r="S6">
            <v>0</v>
          </cell>
          <cell r="T6">
            <v>1</v>
          </cell>
          <cell r="U6">
            <v>0</v>
          </cell>
          <cell r="V6">
            <v>0</v>
          </cell>
          <cell r="W6">
            <v>1</v>
          </cell>
          <cell r="X6">
            <v>1</v>
          </cell>
          <cell r="Y6">
            <v>1</v>
          </cell>
          <cell r="Z6">
            <v>0</v>
          </cell>
          <cell r="AA6">
            <v>0</v>
          </cell>
        </row>
        <row r="7">
          <cell r="A7">
            <v>6</v>
          </cell>
          <cell r="B7">
            <v>0</v>
          </cell>
          <cell r="C7">
            <v>0</v>
          </cell>
          <cell r="D7">
            <v>0</v>
          </cell>
          <cell r="E7">
            <v>0</v>
          </cell>
          <cell r="F7">
            <v>0</v>
          </cell>
          <cell r="G7">
            <v>1</v>
          </cell>
          <cell r="H7">
            <v>0</v>
          </cell>
          <cell r="I7">
            <v>0</v>
          </cell>
          <cell r="J7">
            <v>0</v>
          </cell>
          <cell r="K7">
            <v>0</v>
          </cell>
          <cell r="L7">
            <v>1</v>
          </cell>
          <cell r="M7">
            <v>1</v>
          </cell>
          <cell r="N7">
            <v>0</v>
          </cell>
          <cell r="O7">
            <v>0</v>
          </cell>
          <cell r="P7">
            <v>0</v>
          </cell>
          <cell r="Q7">
            <v>0</v>
          </cell>
          <cell r="R7">
            <v>0</v>
          </cell>
          <cell r="S7">
            <v>0</v>
          </cell>
          <cell r="T7">
            <v>1</v>
          </cell>
          <cell r="U7">
            <v>0</v>
          </cell>
          <cell r="V7">
            <v>0</v>
          </cell>
          <cell r="W7">
            <v>2</v>
          </cell>
          <cell r="X7">
            <v>2</v>
          </cell>
          <cell r="Y7">
            <v>0</v>
          </cell>
          <cell r="Z7">
            <v>0</v>
          </cell>
          <cell r="AA7">
            <v>0</v>
          </cell>
        </row>
        <row r="8">
          <cell r="A8">
            <v>7</v>
          </cell>
          <cell r="B8">
            <v>0</v>
          </cell>
          <cell r="C8">
            <v>0</v>
          </cell>
          <cell r="D8">
            <v>0</v>
          </cell>
          <cell r="E8">
            <v>0</v>
          </cell>
          <cell r="F8">
            <v>0</v>
          </cell>
          <cell r="G8">
            <v>1</v>
          </cell>
          <cell r="H8">
            <v>0</v>
          </cell>
          <cell r="I8">
            <v>0</v>
          </cell>
          <cell r="J8">
            <v>0</v>
          </cell>
          <cell r="K8">
            <v>0</v>
          </cell>
          <cell r="L8">
            <v>1</v>
          </cell>
          <cell r="M8">
            <v>1</v>
          </cell>
          <cell r="N8">
            <v>0</v>
          </cell>
          <cell r="O8">
            <v>0</v>
          </cell>
          <cell r="P8">
            <v>0</v>
          </cell>
          <cell r="Q8">
            <v>0</v>
          </cell>
          <cell r="R8">
            <v>0</v>
          </cell>
          <cell r="S8">
            <v>0</v>
          </cell>
          <cell r="T8">
            <v>1</v>
          </cell>
          <cell r="U8">
            <v>0</v>
          </cell>
          <cell r="V8">
            <v>0</v>
          </cell>
          <cell r="W8">
            <v>2</v>
          </cell>
          <cell r="X8">
            <v>1</v>
          </cell>
          <cell r="Y8">
            <v>1</v>
          </cell>
          <cell r="Z8">
            <v>0</v>
          </cell>
          <cell r="AA8">
            <v>0</v>
          </cell>
        </row>
        <row r="9">
          <cell r="A9">
            <v>8</v>
          </cell>
          <cell r="B9">
            <v>0</v>
          </cell>
          <cell r="C9">
            <v>0</v>
          </cell>
          <cell r="D9">
            <v>0</v>
          </cell>
          <cell r="E9">
            <v>0</v>
          </cell>
          <cell r="F9">
            <v>0</v>
          </cell>
          <cell r="G9">
            <v>2</v>
          </cell>
          <cell r="H9">
            <v>0</v>
          </cell>
          <cell r="I9">
            <v>0</v>
          </cell>
          <cell r="J9">
            <v>0</v>
          </cell>
          <cell r="K9">
            <v>0</v>
          </cell>
          <cell r="L9">
            <v>1</v>
          </cell>
          <cell r="M9">
            <v>1</v>
          </cell>
          <cell r="N9">
            <v>0</v>
          </cell>
          <cell r="O9">
            <v>0</v>
          </cell>
          <cell r="P9">
            <v>0</v>
          </cell>
          <cell r="Q9">
            <v>0</v>
          </cell>
          <cell r="R9">
            <v>0</v>
          </cell>
          <cell r="S9">
            <v>0</v>
          </cell>
          <cell r="T9">
            <v>0</v>
          </cell>
          <cell r="U9">
            <v>0</v>
          </cell>
          <cell r="V9">
            <v>0</v>
          </cell>
          <cell r="W9">
            <v>2</v>
          </cell>
          <cell r="X9">
            <v>1</v>
          </cell>
          <cell r="Y9">
            <v>1</v>
          </cell>
          <cell r="Z9">
            <v>0</v>
          </cell>
          <cell r="AA9">
            <v>0</v>
          </cell>
        </row>
        <row r="10">
          <cell r="A10">
            <v>9</v>
          </cell>
          <cell r="B10">
            <v>0</v>
          </cell>
          <cell r="C10">
            <v>0</v>
          </cell>
          <cell r="D10">
            <v>0</v>
          </cell>
          <cell r="E10">
            <v>0</v>
          </cell>
          <cell r="F10">
            <v>0</v>
          </cell>
          <cell r="G10">
            <v>1</v>
          </cell>
          <cell r="H10">
            <v>0</v>
          </cell>
          <cell r="I10">
            <v>0</v>
          </cell>
          <cell r="J10">
            <v>0</v>
          </cell>
          <cell r="K10">
            <v>0</v>
          </cell>
          <cell r="L10">
            <v>1</v>
          </cell>
          <cell r="M10">
            <v>0</v>
          </cell>
          <cell r="N10">
            <v>0</v>
          </cell>
          <cell r="O10">
            <v>0</v>
          </cell>
          <cell r="P10">
            <v>0</v>
          </cell>
          <cell r="Q10">
            <v>0</v>
          </cell>
          <cell r="R10">
            <v>1</v>
          </cell>
          <cell r="S10">
            <v>0</v>
          </cell>
          <cell r="T10">
            <v>1</v>
          </cell>
          <cell r="U10">
            <v>0</v>
          </cell>
          <cell r="V10">
            <v>0</v>
          </cell>
          <cell r="W10">
            <v>1</v>
          </cell>
          <cell r="X10">
            <v>1</v>
          </cell>
          <cell r="Y10">
            <v>1</v>
          </cell>
          <cell r="Z10">
            <v>0</v>
          </cell>
          <cell r="AA10">
            <v>0</v>
          </cell>
        </row>
        <row r="11">
          <cell r="A11">
            <v>10</v>
          </cell>
          <cell r="B11">
            <v>0</v>
          </cell>
          <cell r="C11">
            <v>0</v>
          </cell>
          <cell r="D11">
            <v>0</v>
          </cell>
          <cell r="E11">
            <v>0</v>
          </cell>
          <cell r="F11">
            <v>0</v>
          </cell>
          <cell r="G11">
            <v>3</v>
          </cell>
          <cell r="H11">
            <v>0</v>
          </cell>
          <cell r="I11">
            <v>0</v>
          </cell>
          <cell r="J11">
            <v>0</v>
          </cell>
          <cell r="K11">
            <v>0</v>
          </cell>
          <cell r="L11">
            <v>1</v>
          </cell>
          <cell r="M11">
            <v>0</v>
          </cell>
          <cell r="N11">
            <v>0</v>
          </cell>
          <cell r="O11">
            <v>0</v>
          </cell>
          <cell r="P11">
            <v>0</v>
          </cell>
          <cell r="Q11">
            <v>0</v>
          </cell>
          <cell r="R11">
            <v>0</v>
          </cell>
          <cell r="S11">
            <v>0</v>
          </cell>
          <cell r="T11">
            <v>1</v>
          </cell>
          <cell r="U11">
            <v>0</v>
          </cell>
          <cell r="V11">
            <v>0</v>
          </cell>
          <cell r="W11">
            <v>1</v>
          </cell>
          <cell r="X11">
            <v>1</v>
          </cell>
          <cell r="Y11">
            <v>1</v>
          </cell>
          <cell r="Z11">
            <v>0</v>
          </cell>
          <cell r="AA11">
            <v>0</v>
          </cell>
        </row>
        <row r="12">
          <cell r="A12">
            <v>11</v>
          </cell>
          <cell r="B12">
            <v>0</v>
          </cell>
          <cell r="C12">
            <v>0</v>
          </cell>
          <cell r="D12">
            <v>0</v>
          </cell>
          <cell r="E12">
            <v>0</v>
          </cell>
          <cell r="F12">
            <v>1</v>
          </cell>
          <cell r="G12">
            <v>1</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2</v>
          </cell>
          <cell r="X12">
            <v>1</v>
          </cell>
          <cell r="Y12">
            <v>1</v>
          </cell>
          <cell r="Z12">
            <v>0</v>
          </cell>
          <cell r="AA12">
            <v>0</v>
          </cell>
        </row>
        <row r="13">
          <cell r="A13">
            <v>12</v>
          </cell>
          <cell r="B13">
            <v>0</v>
          </cell>
          <cell r="C13">
            <v>0</v>
          </cell>
          <cell r="D13">
            <v>0</v>
          </cell>
          <cell r="E13">
            <v>0</v>
          </cell>
          <cell r="F13">
            <v>0</v>
          </cell>
          <cell r="G13">
            <v>1</v>
          </cell>
          <cell r="H13">
            <v>0</v>
          </cell>
          <cell r="I13">
            <v>0</v>
          </cell>
          <cell r="J13">
            <v>0</v>
          </cell>
          <cell r="K13">
            <v>1</v>
          </cell>
          <cell r="L13">
            <v>1</v>
          </cell>
          <cell r="M13">
            <v>0</v>
          </cell>
          <cell r="N13">
            <v>0</v>
          </cell>
          <cell r="O13">
            <v>0</v>
          </cell>
          <cell r="P13">
            <v>0</v>
          </cell>
          <cell r="Q13">
            <v>0</v>
          </cell>
          <cell r="R13">
            <v>0</v>
          </cell>
          <cell r="S13">
            <v>0</v>
          </cell>
          <cell r="T13">
            <v>1</v>
          </cell>
          <cell r="U13">
            <v>0</v>
          </cell>
          <cell r="V13">
            <v>0</v>
          </cell>
          <cell r="W13">
            <v>1</v>
          </cell>
          <cell r="X13">
            <v>2</v>
          </cell>
          <cell r="Y13">
            <v>0</v>
          </cell>
          <cell r="Z13">
            <v>0</v>
          </cell>
          <cell r="AA13">
            <v>0</v>
          </cell>
        </row>
        <row r="14">
          <cell r="A14">
            <v>13</v>
          </cell>
          <cell r="B14">
            <v>0</v>
          </cell>
          <cell r="C14">
            <v>0</v>
          </cell>
          <cell r="D14">
            <v>0</v>
          </cell>
          <cell r="E14">
            <v>0</v>
          </cell>
          <cell r="F14">
            <v>0</v>
          </cell>
          <cell r="G14">
            <v>1</v>
          </cell>
          <cell r="H14">
            <v>0</v>
          </cell>
          <cell r="I14">
            <v>0</v>
          </cell>
          <cell r="J14">
            <v>0</v>
          </cell>
          <cell r="K14">
            <v>0</v>
          </cell>
          <cell r="L14">
            <v>1</v>
          </cell>
          <cell r="M14">
            <v>0</v>
          </cell>
          <cell r="N14">
            <v>0</v>
          </cell>
          <cell r="O14">
            <v>0</v>
          </cell>
          <cell r="P14">
            <v>0</v>
          </cell>
          <cell r="Q14">
            <v>0</v>
          </cell>
          <cell r="R14">
            <v>0</v>
          </cell>
          <cell r="S14">
            <v>0</v>
          </cell>
          <cell r="T14">
            <v>1</v>
          </cell>
          <cell r="U14">
            <v>0</v>
          </cell>
          <cell r="V14">
            <v>0</v>
          </cell>
          <cell r="W14">
            <v>1</v>
          </cell>
          <cell r="X14">
            <v>1</v>
          </cell>
          <cell r="Y14">
            <v>0</v>
          </cell>
          <cell r="Z14">
            <v>0</v>
          </cell>
          <cell r="AA14">
            <v>0</v>
          </cell>
        </row>
        <row r="15">
          <cell r="A15">
            <v>14</v>
          </cell>
          <cell r="B15">
            <v>0</v>
          </cell>
          <cell r="C15">
            <v>0</v>
          </cell>
          <cell r="D15">
            <v>0</v>
          </cell>
          <cell r="E15">
            <v>0</v>
          </cell>
          <cell r="F15">
            <v>0</v>
          </cell>
          <cell r="G15">
            <v>1</v>
          </cell>
          <cell r="H15">
            <v>0</v>
          </cell>
          <cell r="I15">
            <v>0</v>
          </cell>
          <cell r="J15">
            <v>0</v>
          </cell>
          <cell r="K15">
            <v>0</v>
          </cell>
          <cell r="L15">
            <v>0</v>
          </cell>
          <cell r="M15">
            <v>0</v>
          </cell>
          <cell r="N15">
            <v>0</v>
          </cell>
          <cell r="O15">
            <v>0</v>
          </cell>
          <cell r="P15">
            <v>0</v>
          </cell>
          <cell r="Q15">
            <v>0</v>
          </cell>
          <cell r="R15">
            <v>0</v>
          </cell>
          <cell r="S15">
            <v>0</v>
          </cell>
          <cell r="T15">
            <v>2</v>
          </cell>
          <cell r="U15">
            <v>0</v>
          </cell>
          <cell r="V15">
            <v>0</v>
          </cell>
          <cell r="W15">
            <v>1</v>
          </cell>
          <cell r="X15">
            <v>1</v>
          </cell>
          <cell r="Y15">
            <v>1</v>
          </cell>
          <cell r="Z15">
            <v>0</v>
          </cell>
          <cell r="AA15">
            <v>0</v>
          </cell>
        </row>
        <row r="16">
          <cell r="A16">
            <v>15</v>
          </cell>
          <cell r="B16">
            <v>0</v>
          </cell>
          <cell r="C16">
            <v>0</v>
          </cell>
          <cell r="D16">
            <v>0</v>
          </cell>
          <cell r="E16">
            <v>0</v>
          </cell>
          <cell r="F16">
            <v>0</v>
          </cell>
          <cell r="G16">
            <v>1</v>
          </cell>
          <cell r="H16">
            <v>0</v>
          </cell>
          <cell r="I16">
            <v>0</v>
          </cell>
          <cell r="J16">
            <v>0</v>
          </cell>
          <cell r="K16">
            <v>0</v>
          </cell>
          <cell r="L16">
            <v>0</v>
          </cell>
          <cell r="M16">
            <v>0</v>
          </cell>
          <cell r="N16">
            <v>0</v>
          </cell>
          <cell r="O16">
            <v>0</v>
          </cell>
          <cell r="P16">
            <v>0</v>
          </cell>
          <cell r="Q16">
            <v>0</v>
          </cell>
          <cell r="R16">
            <v>1</v>
          </cell>
          <cell r="S16">
            <v>0</v>
          </cell>
          <cell r="T16">
            <v>1</v>
          </cell>
          <cell r="U16">
            <v>0</v>
          </cell>
          <cell r="V16">
            <v>0</v>
          </cell>
          <cell r="W16">
            <v>1</v>
          </cell>
          <cell r="X16">
            <v>1</v>
          </cell>
          <cell r="Y16">
            <v>0</v>
          </cell>
          <cell r="Z16">
            <v>0</v>
          </cell>
          <cell r="AA16">
            <v>0</v>
          </cell>
        </row>
        <row r="17">
          <cell r="A17">
            <v>16</v>
          </cell>
          <cell r="B17">
            <v>0</v>
          </cell>
          <cell r="C17">
            <v>0</v>
          </cell>
          <cell r="D17">
            <v>0</v>
          </cell>
          <cell r="E17">
            <v>0</v>
          </cell>
          <cell r="F17">
            <v>0</v>
          </cell>
          <cell r="G17">
            <v>1</v>
          </cell>
          <cell r="H17">
            <v>0</v>
          </cell>
          <cell r="I17">
            <v>0</v>
          </cell>
          <cell r="J17">
            <v>0</v>
          </cell>
          <cell r="K17">
            <v>0</v>
          </cell>
          <cell r="L17">
            <v>0</v>
          </cell>
          <cell r="M17">
            <v>0</v>
          </cell>
          <cell r="N17">
            <v>0</v>
          </cell>
          <cell r="O17">
            <v>0</v>
          </cell>
          <cell r="P17">
            <v>0</v>
          </cell>
          <cell r="Q17">
            <v>0</v>
          </cell>
          <cell r="R17">
            <v>0</v>
          </cell>
          <cell r="S17">
            <v>0</v>
          </cell>
          <cell r="T17">
            <v>1</v>
          </cell>
          <cell r="U17">
            <v>0</v>
          </cell>
          <cell r="V17">
            <v>0</v>
          </cell>
          <cell r="W17">
            <v>0</v>
          </cell>
          <cell r="X17">
            <v>1</v>
          </cell>
          <cell r="Y17">
            <v>1</v>
          </cell>
          <cell r="Z17">
            <v>0</v>
          </cell>
          <cell r="AA17">
            <v>0</v>
          </cell>
        </row>
        <row r="18">
          <cell r="A18">
            <v>17</v>
          </cell>
          <cell r="B18">
            <v>0</v>
          </cell>
          <cell r="C18">
            <v>0</v>
          </cell>
          <cell r="D18">
            <v>0</v>
          </cell>
          <cell r="E18">
            <v>0</v>
          </cell>
          <cell r="F18">
            <v>0</v>
          </cell>
          <cell r="G18">
            <v>1</v>
          </cell>
          <cell r="H18">
            <v>0</v>
          </cell>
          <cell r="I18">
            <v>0</v>
          </cell>
          <cell r="J18">
            <v>0</v>
          </cell>
          <cell r="K18">
            <v>0</v>
          </cell>
          <cell r="L18">
            <v>0</v>
          </cell>
          <cell r="M18">
            <v>1</v>
          </cell>
          <cell r="N18">
            <v>0</v>
          </cell>
          <cell r="O18">
            <v>0</v>
          </cell>
          <cell r="P18">
            <v>0</v>
          </cell>
          <cell r="Q18">
            <v>0</v>
          </cell>
          <cell r="R18">
            <v>0</v>
          </cell>
          <cell r="S18">
            <v>1</v>
          </cell>
          <cell r="T18">
            <v>0</v>
          </cell>
          <cell r="U18">
            <v>0</v>
          </cell>
          <cell r="V18">
            <v>0</v>
          </cell>
          <cell r="W18">
            <v>1</v>
          </cell>
          <cell r="X18">
            <v>2</v>
          </cell>
          <cell r="Y18">
            <v>1</v>
          </cell>
          <cell r="Z18">
            <v>0</v>
          </cell>
          <cell r="AA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1</v>
          </cell>
          <cell r="S19">
            <v>0</v>
          </cell>
          <cell r="T19">
            <v>0</v>
          </cell>
          <cell r="U19">
            <v>0</v>
          </cell>
          <cell r="V19">
            <v>0</v>
          </cell>
          <cell r="W19">
            <v>1</v>
          </cell>
          <cell r="X19">
            <v>1</v>
          </cell>
          <cell r="Y19">
            <v>1</v>
          </cell>
          <cell r="Z19">
            <v>0</v>
          </cell>
          <cell r="AA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1</v>
          </cell>
          <cell r="T20">
            <v>1</v>
          </cell>
          <cell r="U20">
            <v>0</v>
          </cell>
          <cell r="V20">
            <v>0</v>
          </cell>
          <cell r="W20">
            <v>1</v>
          </cell>
          <cell r="X20">
            <v>1</v>
          </cell>
          <cell r="Y20">
            <v>1</v>
          </cell>
          <cell r="Z20">
            <v>0</v>
          </cell>
          <cell r="AA20">
            <v>0</v>
          </cell>
        </row>
        <row r="21">
          <cell r="A21">
            <v>20</v>
          </cell>
          <cell r="B21">
            <v>0</v>
          </cell>
          <cell r="C21">
            <v>0</v>
          </cell>
          <cell r="D21">
            <v>0</v>
          </cell>
          <cell r="E21">
            <v>0</v>
          </cell>
          <cell r="F21">
            <v>0</v>
          </cell>
          <cell r="G21">
            <v>1</v>
          </cell>
          <cell r="H21">
            <v>0</v>
          </cell>
          <cell r="I21">
            <v>0</v>
          </cell>
          <cell r="J21">
            <v>0</v>
          </cell>
          <cell r="K21">
            <v>0</v>
          </cell>
          <cell r="L21">
            <v>1</v>
          </cell>
          <cell r="M21">
            <v>1</v>
          </cell>
          <cell r="N21">
            <v>0</v>
          </cell>
          <cell r="O21">
            <v>0</v>
          </cell>
          <cell r="P21">
            <v>0</v>
          </cell>
          <cell r="Q21">
            <v>0</v>
          </cell>
          <cell r="R21">
            <v>0</v>
          </cell>
          <cell r="S21">
            <v>0</v>
          </cell>
          <cell r="T21">
            <v>1</v>
          </cell>
          <cell r="U21">
            <v>1</v>
          </cell>
          <cell r="V21">
            <v>0</v>
          </cell>
          <cell r="W21">
            <v>1</v>
          </cell>
          <cell r="X21">
            <v>1</v>
          </cell>
          <cell r="Y21">
            <v>1</v>
          </cell>
          <cell r="Z21">
            <v>0</v>
          </cell>
          <cell r="AA21">
            <v>0</v>
          </cell>
        </row>
        <row r="22">
          <cell r="A22">
            <v>21</v>
          </cell>
          <cell r="B22">
            <v>0</v>
          </cell>
          <cell r="C22">
            <v>0</v>
          </cell>
          <cell r="D22">
            <v>0</v>
          </cell>
          <cell r="E22">
            <v>0</v>
          </cell>
          <cell r="F22">
            <v>0</v>
          </cell>
          <cell r="G22">
            <v>0</v>
          </cell>
          <cell r="H22">
            <v>0</v>
          </cell>
          <cell r="I22">
            <v>0</v>
          </cell>
          <cell r="J22">
            <v>0</v>
          </cell>
          <cell r="K22">
            <v>0</v>
          </cell>
          <cell r="L22">
            <v>0</v>
          </cell>
          <cell r="M22">
            <v>1</v>
          </cell>
          <cell r="N22">
            <v>0</v>
          </cell>
          <cell r="O22">
            <v>0</v>
          </cell>
          <cell r="P22">
            <v>0</v>
          </cell>
          <cell r="Q22">
            <v>0</v>
          </cell>
          <cell r="R22">
            <v>0</v>
          </cell>
          <cell r="S22">
            <v>1</v>
          </cell>
          <cell r="T22">
            <v>0</v>
          </cell>
          <cell r="U22">
            <v>0</v>
          </cell>
          <cell r="V22">
            <v>0</v>
          </cell>
          <cell r="W22">
            <v>1</v>
          </cell>
          <cell r="X22">
            <v>1</v>
          </cell>
          <cell r="Y22">
            <v>1</v>
          </cell>
          <cell r="Z22">
            <v>0</v>
          </cell>
          <cell r="AA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1</v>
          </cell>
          <cell r="S23">
            <v>0</v>
          </cell>
          <cell r="T23">
            <v>0</v>
          </cell>
          <cell r="U23">
            <v>0</v>
          </cell>
          <cell r="V23">
            <v>0</v>
          </cell>
          <cell r="W23">
            <v>1</v>
          </cell>
          <cell r="X23">
            <v>1</v>
          </cell>
          <cell r="Y23">
            <v>1</v>
          </cell>
          <cell r="Z23">
            <v>0</v>
          </cell>
          <cell r="AA23">
            <v>0</v>
          </cell>
        </row>
        <row r="24">
          <cell r="A24">
            <v>23</v>
          </cell>
          <cell r="B24">
            <v>0</v>
          </cell>
          <cell r="C24">
            <v>0</v>
          </cell>
          <cell r="D24">
            <v>0</v>
          </cell>
          <cell r="E24">
            <v>0</v>
          </cell>
          <cell r="F24">
            <v>0</v>
          </cell>
          <cell r="G24">
            <v>1</v>
          </cell>
          <cell r="H24">
            <v>0</v>
          </cell>
          <cell r="I24">
            <v>0</v>
          </cell>
          <cell r="J24">
            <v>0</v>
          </cell>
          <cell r="K24">
            <v>0</v>
          </cell>
          <cell r="L24">
            <v>0</v>
          </cell>
          <cell r="M24">
            <v>0</v>
          </cell>
          <cell r="N24">
            <v>0</v>
          </cell>
          <cell r="O24">
            <v>0</v>
          </cell>
          <cell r="P24">
            <v>0</v>
          </cell>
          <cell r="Q24">
            <v>0</v>
          </cell>
          <cell r="R24">
            <v>1</v>
          </cell>
          <cell r="S24">
            <v>1</v>
          </cell>
          <cell r="T24">
            <v>0</v>
          </cell>
          <cell r="U24">
            <v>0</v>
          </cell>
          <cell r="V24">
            <v>0</v>
          </cell>
          <cell r="W24">
            <v>1</v>
          </cell>
          <cell r="X24">
            <v>2</v>
          </cell>
          <cell r="Y24">
            <v>1</v>
          </cell>
          <cell r="Z24">
            <v>0</v>
          </cell>
          <cell r="AA24">
            <v>0</v>
          </cell>
        </row>
        <row r="25">
          <cell r="A25">
            <v>24</v>
          </cell>
          <cell r="B25">
            <v>0</v>
          </cell>
          <cell r="C25">
            <v>0</v>
          </cell>
          <cell r="D25">
            <v>0</v>
          </cell>
          <cell r="E25">
            <v>0</v>
          </cell>
          <cell r="F25">
            <v>0</v>
          </cell>
          <cell r="G25">
            <v>1</v>
          </cell>
          <cell r="H25">
            <v>0</v>
          </cell>
          <cell r="I25">
            <v>0</v>
          </cell>
          <cell r="J25">
            <v>0</v>
          </cell>
          <cell r="K25">
            <v>0</v>
          </cell>
          <cell r="L25">
            <v>0</v>
          </cell>
          <cell r="M25">
            <v>0</v>
          </cell>
          <cell r="N25">
            <v>0</v>
          </cell>
          <cell r="O25">
            <v>0</v>
          </cell>
          <cell r="P25">
            <v>0</v>
          </cell>
          <cell r="Q25">
            <v>0</v>
          </cell>
          <cell r="R25">
            <v>1</v>
          </cell>
          <cell r="S25">
            <v>0</v>
          </cell>
          <cell r="T25">
            <v>1</v>
          </cell>
          <cell r="U25">
            <v>0</v>
          </cell>
          <cell r="V25">
            <v>0</v>
          </cell>
          <cell r="W25">
            <v>1</v>
          </cell>
          <cell r="X25">
            <v>1</v>
          </cell>
          <cell r="Y25">
            <v>0</v>
          </cell>
          <cell r="Z25">
            <v>0</v>
          </cell>
          <cell r="AA25">
            <v>0</v>
          </cell>
        </row>
        <row r="26">
          <cell r="A26">
            <v>25</v>
          </cell>
          <cell r="B26">
            <v>0</v>
          </cell>
          <cell r="C26">
            <v>0</v>
          </cell>
          <cell r="D26">
            <v>0</v>
          </cell>
          <cell r="E26">
            <v>0</v>
          </cell>
          <cell r="F26">
            <v>0</v>
          </cell>
          <cell r="G26">
            <v>0</v>
          </cell>
          <cell r="H26">
            <v>0</v>
          </cell>
          <cell r="I26">
            <v>0</v>
          </cell>
          <cell r="J26">
            <v>0</v>
          </cell>
          <cell r="K26">
            <v>0</v>
          </cell>
          <cell r="L26">
            <v>0</v>
          </cell>
          <cell r="M26">
            <v>1</v>
          </cell>
          <cell r="N26">
            <v>0</v>
          </cell>
          <cell r="O26">
            <v>0</v>
          </cell>
          <cell r="P26">
            <v>0</v>
          </cell>
          <cell r="Q26">
            <v>0</v>
          </cell>
          <cell r="R26">
            <v>0</v>
          </cell>
          <cell r="S26">
            <v>0</v>
          </cell>
          <cell r="T26">
            <v>0</v>
          </cell>
          <cell r="U26">
            <v>0</v>
          </cell>
          <cell r="V26">
            <v>0</v>
          </cell>
          <cell r="W26">
            <v>1</v>
          </cell>
          <cell r="X26">
            <v>1</v>
          </cell>
          <cell r="Y26">
            <v>1</v>
          </cell>
          <cell r="Z26">
            <v>0</v>
          </cell>
          <cell r="AA26">
            <v>0</v>
          </cell>
        </row>
        <row r="27">
          <cell r="A27">
            <v>26</v>
          </cell>
          <cell r="B27">
            <v>0</v>
          </cell>
          <cell r="C27">
            <v>0</v>
          </cell>
          <cell r="D27">
            <v>0</v>
          </cell>
          <cell r="E27">
            <v>0</v>
          </cell>
          <cell r="F27">
            <v>0</v>
          </cell>
          <cell r="G27">
            <v>1</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0</v>
          </cell>
          <cell r="W27">
            <v>1</v>
          </cell>
          <cell r="X27">
            <v>1</v>
          </cell>
          <cell r="Y27">
            <v>1</v>
          </cell>
          <cell r="Z27">
            <v>0</v>
          </cell>
          <cell r="AA27">
            <v>0</v>
          </cell>
        </row>
        <row r="28">
          <cell r="A28">
            <v>27</v>
          </cell>
          <cell r="B28">
            <v>0</v>
          </cell>
          <cell r="C28">
            <v>0</v>
          </cell>
          <cell r="D28">
            <v>0</v>
          </cell>
          <cell r="E28">
            <v>0</v>
          </cell>
          <cell r="F28">
            <v>0</v>
          </cell>
          <cell r="G28">
            <v>0</v>
          </cell>
          <cell r="H28">
            <v>0</v>
          </cell>
          <cell r="I28">
            <v>0</v>
          </cell>
          <cell r="J28">
            <v>0</v>
          </cell>
          <cell r="K28">
            <v>0</v>
          </cell>
          <cell r="L28">
            <v>0</v>
          </cell>
          <cell r="M28">
            <v>1</v>
          </cell>
          <cell r="N28">
            <v>0</v>
          </cell>
          <cell r="O28">
            <v>0</v>
          </cell>
          <cell r="P28">
            <v>0</v>
          </cell>
          <cell r="Q28">
            <v>0</v>
          </cell>
          <cell r="R28">
            <v>0</v>
          </cell>
          <cell r="S28">
            <v>0</v>
          </cell>
          <cell r="T28">
            <v>0</v>
          </cell>
          <cell r="U28">
            <v>0</v>
          </cell>
          <cell r="V28">
            <v>0</v>
          </cell>
          <cell r="W28">
            <v>0</v>
          </cell>
          <cell r="X28">
            <v>1</v>
          </cell>
          <cell r="Y28">
            <v>1</v>
          </cell>
          <cell r="Z28">
            <v>0</v>
          </cell>
          <cell r="AA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1</v>
          </cell>
          <cell r="T29">
            <v>1</v>
          </cell>
          <cell r="U29">
            <v>0</v>
          </cell>
          <cell r="V29">
            <v>0</v>
          </cell>
          <cell r="W29">
            <v>0</v>
          </cell>
          <cell r="X29">
            <v>1</v>
          </cell>
          <cell r="Y29">
            <v>0</v>
          </cell>
          <cell r="Z29">
            <v>0</v>
          </cell>
          <cell r="AA29">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Unnamed: 0</v>
          </cell>
          <cell r="C1" t="str">
            <v>AH</v>
          </cell>
          <cell r="D1" t="str">
            <v>AMARILLOS</v>
          </cell>
          <cell r="E1" t="str">
            <v>DEMOCRATAS</v>
          </cell>
          <cell r="F1" t="str">
            <v>EVOPOLI</v>
          </cell>
          <cell r="G1" t="str">
            <v>FA</v>
          </cell>
          <cell r="H1" t="str">
            <v>FREVS</v>
          </cell>
          <cell r="I1" t="str">
            <v>IGUALDAD</v>
          </cell>
          <cell r="J1" t="str">
            <v>IND - CANDIDATURAS INDEPENDIENTES</v>
          </cell>
          <cell r="K1" t="str">
            <v>PAVP</v>
          </cell>
          <cell r="L1" t="str">
            <v>PCCH</v>
          </cell>
          <cell r="M1" t="str">
            <v>PDC</v>
          </cell>
          <cell r="N1" t="str">
            <v>PDG</v>
          </cell>
          <cell r="O1" t="str">
            <v>PH</v>
          </cell>
          <cell r="P1" t="str">
            <v>PL</v>
          </cell>
          <cell r="Q1" t="str">
            <v>POPULAR</v>
          </cell>
          <cell r="R1" t="str">
            <v>PPD</v>
          </cell>
          <cell r="S1" t="str">
            <v>PR</v>
          </cell>
          <cell r="T1" t="str">
            <v>PS</v>
          </cell>
          <cell r="U1" t="str">
            <v>PSC</v>
          </cell>
          <cell r="V1" t="str">
            <v>PTR</v>
          </cell>
          <cell r="W1" t="str">
            <v>REPUBLICANO</v>
          </cell>
          <cell r="X1" t="str">
            <v>RN</v>
          </cell>
          <cell r="Y1" t="str">
            <v>UDI</v>
          </cell>
          <cell r="Z1" t="str">
            <v>Votos Blancos</v>
          </cell>
          <cell r="AA1" t="str">
            <v>Votos Nulos</v>
          </cell>
        </row>
        <row r="2">
          <cell r="A2">
            <v>1</v>
          </cell>
          <cell r="B2">
            <v>0</v>
          </cell>
          <cell r="C2">
            <v>0</v>
          </cell>
          <cell r="D2">
            <v>0</v>
          </cell>
          <cell r="E2">
            <v>0</v>
          </cell>
          <cell r="F2">
            <v>0</v>
          </cell>
          <cell r="G2">
            <v>0</v>
          </cell>
          <cell r="H2">
            <v>0</v>
          </cell>
          <cell r="I2">
            <v>0</v>
          </cell>
          <cell r="J2">
            <v>0</v>
          </cell>
          <cell r="K2">
            <v>0</v>
          </cell>
          <cell r="L2">
            <v>1</v>
          </cell>
          <cell r="M2">
            <v>0</v>
          </cell>
          <cell r="N2">
            <v>0</v>
          </cell>
          <cell r="O2">
            <v>0</v>
          </cell>
          <cell r="P2">
            <v>0</v>
          </cell>
          <cell r="Q2">
            <v>0</v>
          </cell>
          <cell r="R2">
            <v>0</v>
          </cell>
          <cell r="S2">
            <v>0</v>
          </cell>
          <cell r="T2">
            <v>0</v>
          </cell>
          <cell r="U2">
            <v>0</v>
          </cell>
          <cell r="V2">
            <v>0</v>
          </cell>
          <cell r="W2">
            <v>1</v>
          </cell>
          <cell r="X2">
            <v>1</v>
          </cell>
          <cell r="Y2">
            <v>0</v>
          </cell>
          <cell r="Z2">
            <v>0</v>
          </cell>
          <cell r="AA2">
            <v>0</v>
          </cell>
        </row>
        <row r="3">
          <cell r="A3">
            <v>2</v>
          </cell>
          <cell r="B3">
            <v>0</v>
          </cell>
          <cell r="C3">
            <v>0</v>
          </cell>
          <cell r="D3">
            <v>0</v>
          </cell>
          <cell r="E3">
            <v>0</v>
          </cell>
          <cell r="F3">
            <v>0</v>
          </cell>
          <cell r="G3">
            <v>0</v>
          </cell>
          <cell r="H3">
            <v>0</v>
          </cell>
          <cell r="I3">
            <v>0</v>
          </cell>
          <cell r="J3">
            <v>0</v>
          </cell>
          <cell r="K3">
            <v>0</v>
          </cell>
          <cell r="L3">
            <v>0</v>
          </cell>
          <cell r="M3">
            <v>1</v>
          </cell>
          <cell r="N3">
            <v>0</v>
          </cell>
          <cell r="O3">
            <v>0</v>
          </cell>
          <cell r="P3">
            <v>0</v>
          </cell>
          <cell r="Q3">
            <v>0</v>
          </cell>
          <cell r="R3">
            <v>0</v>
          </cell>
          <cell r="S3">
            <v>0</v>
          </cell>
          <cell r="T3">
            <v>0</v>
          </cell>
          <cell r="U3">
            <v>0</v>
          </cell>
          <cell r="V3">
            <v>0</v>
          </cell>
          <cell r="W3">
            <v>1</v>
          </cell>
          <cell r="X3">
            <v>1</v>
          </cell>
          <cell r="Y3">
            <v>0</v>
          </cell>
          <cell r="Z3">
            <v>0</v>
          </cell>
          <cell r="AA3">
            <v>0</v>
          </cell>
        </row>
        <row r="4">
          <cell r="A4">
            <v>3</v>
          </cell>
          <cell r="B4">
            <v>0</v>
          </cell>
          <cell r="C4">
            <v>0</v>
          </cell>
          <cell r="D4">
            <v>0</v>
          </cell>
          <cell r="E4">
            <v>0</v>
          </cell>
          <cell r="F4">
            <v>0</v>
          </cell>
          <cell r="G4">
            <v>0</v>
          </cell>
          <cell r="H4">
            <v>1</v>
          </cell>
          <cell r="I4">
            <v>0</v>
          </cell>
          <cell r="J4">
            <v>0</v>
          </cell>
          <cell r="K4">
            <v>0</v>
          </cell>
          <cell r="L4">
            <v>1</v>
          </cell>
          <cell r="M4">
            <v>0</v>
          </cell>
          <cell r="N4">
            <v>0</v>
          </cell>
          <cell r="O4">
            <v>0</v>
          </cell>
          <cell r="P4">
            <v>0</v>
          </cell>
          <cell r="Q4">
            <v>0</v>
          </cell>
          <cell r="R4">
            <v>0</v>
          </cell>
          <cell r="S4">
            <v>1</v>
          </cell>
          <cell r="T4">
            <v>0</v>
          </cell>
          <cell r="U4">
            <v>0</v>
          </cell>
          <cell r="V4">
            <v>0</v>
          </cell>
          <cell r="W4">
            <v>1</v>
          </cell>
          <cell r="X4">
            <v>1</v>
          </cell>
          <cell r="Y4">
            <v>0</v>
          </cell>
          <cell r="Z4">
            <v>0</v>
          </cell>
          <cell r="AA4">
            <v>0</v>
          </cell>
        </row>
        <row r="5">
          <cell r="A5">
            <v>4</v>
          </cell>
          <cell r="B5">
            <v>0</v>
          </cell>
          <cell r="C5">
            <v>0</v>
          </cell>
          <cell r="D5">
            <v>0</v>
          </cell>
          <cell r="E5">
            <v>0</v>
          </cell>
          <cell r="F5">
            <v>0</v>
          </cell>
          <cell r="G5">
            <v>0</v>
          </cell>
          <cell r="H5">
            <v>1</v>
          </cell>
          <cell r="I5">
            <v>0</v>
          </cell>
          <cell r="J5">
            <v>0</v>
          </cell>
          <cell r="K5">
            <v>0</v>
          </cell>
          <cell r="L5">
            <v>1</v>
          </cell>
          <cell r="M5">
            <v>0</v>
          </cell>
          <cell r="N5">
            <v>0</v>
          </cell>
          <cell r="O5">
            <v>0</v>
          </cell>
          <cell r="P5">
            <v>0</v>
          </cell>
          <cell r="Q5">
            <v>0</v>
          </cell>
          <cell r="R5">
            <v>0</v>
          </cell>
          <cell r="S5">
            <v>0</v>
          </cell>
          <cell r="T5">
            <v>1</v>
          </cell>
          <cell r="U5">
            <v>0</v>
          </cell>
          <cell r="V5">
            <v>0</v>
          </cell>
          <cell r="W5">
            <v>1</v>
          </cell>
          <cell r="X5">
            <v>1</v>
          </cell>
          <cell r="Y5">
            <v>0</v>
          </cell>
          <cell r="Z5">
            <v>0</v>
          </cell>
          <cell r="AA5">
            <v>0</v>
          </cell>
        </row>
        <row r="6">
          <cell r="A6">
            <v>5</v>
          </cell>
          <cell r="B6">
            <v>0</v>
          </cell>
          <cell r="C6">
            <v>0</v>
          </cell>
          <cell r="D6">
            <v>0</v>
          </cell>
          <cell r="E6">
            <v>0</v>
          </cell>
          <cell r="F6">
            <v>0</v>
          </cell>
          <cell r="G6">
            <v>1</v>
          </cell>
          <cell r="H6">
            <v>0</v>
          </cell>
          <cell r="I6">
            <v>0</v>
          </cell>
          <cell r="J6">
            <v>0</v>
          </cell>
          <cell r="K6">
            <v>0</v>
          </cell>
          <cell r="L6">
            <v>1</v>
          </cell>
          <cell r="M6">
            <v>1</v>
          </cell>
          <cell r="N6">
            <v>0</v>
          </cell>
          <cell r="O6">
            <v>0</v>
          </cell>
          <cell r="P6">
            <v>0</v>
          </cell>
          <cell r="Q6">
            <v>0</v>
          </cell>
          <cell r="R6">
            <v>0</v>
          </cell>
          <cell r="S6">
            <v>0</v>
          </cell>
          <cell r="T6">
            <v>1</v>
          </cell>
          <cell r="U6">
            <v>0</v>
          </cell>
          <cell r="V6">
            <v>0</v>
          </cell>
          <cell r="W6">
            <v>1</v>
          </cell>
          <cell r="X6">
            <v>1</v>
          </cell>
          <cell r="Y6">
            <v>1</v>
          </cell>
          <cell r="Z6">
            <v>0</v>
          </cell>
          <cell r="AA6">
            <v>0</v>
          </cell>
        </row>
        <row r="7">
          <cell r="A7">
            <v>6</v>
          </cell>
          <cell r="B7">
            <v>0</v>
          </cell>
          <cell r="C7">
            <v>0</v>
          </cell>
          <cell r="D7">
            <v>0</v>
          </cell>
          <cell r="E7">
            <v>0</v>
          </cell>
          <cell r="F7">
            <v>0</v>
          </cell>
          <cell r="G7">
            <v>1</v>
          </cell>
          <cell r="H7">
            <v>0</v>
          </cell>
          <cell r="I7">
            <v>0</v>
          </cell>
          <cell r="J7">
            <v>0</v>
          </cell>
          <cell r="K7">
            <v>0</v>
          </cell>
          <cell r="L7">
            <v>1</v>
          </cell>
          <cell r="M7">
            <v>1</v>
          </cell>
          <cell r="N7">
            <v>0</v>
          </cell>
          <cell r="O7">
            <v>0</v>
          </cell>
          <cell r="P7">
            <v>0</v>
          </cell>
          <cell r="Q7">
            <v>0</v>
          </cell>
          <cell r="R7">
            <v>0</v>
          </cell>
          <cell r="S7">
            <v>0</v>
          </cell>
          <cell r="T7">
            <v>1</v>
          </cell>
          <cell r="U7">
            <v>0</v>
          </cell>
          <cell r="V7">
            <v>0</v>
          </cell>
          <cell r="W7">
            <v>2</v>
          </cell>
          <cell r="X7">
            <v>2</v>
          </cell>
          <cell r="Y7">
            <v>0</v>
          </cell>
          <cell r="Z7">
            <v>0</v>
          </cell>
          <cell r="AA7">
            <v>0</v>
          </cell>
        </row>
        <row r="8">
          <cell r="A8">
            <v>7</v>
          </cell>
          <cell r="B8">
            <v>0</v>
          </cell>
          <cell r="C8">
            <v>0</v>
          </cell>
          <cell r="D8">
            <v>0</v>
          </cell>
          <cell r="E8">
            <v>0</v>
          </cell>
          <cell r="F8">
            <v>0</v>
          </cell>
          <cell r="G8">
            <v>1</v>
          </cell>
          <cell r="H8">
            <v>0</v>
          </cell>
          <cell r="I8">
            <v>0</v>
          </cell>
          <cell r="J8">
            <v>0</v>
          </cell>
          <cell r="K8">
            <v>0</v>
          </cell>
          <cell r="L8">
            <v>1</v>
          </cell>
          <cell r="M8">
            <v>1</v>
          </cell>
          <cell r="N8">
            <v>0</v>
          </cell>
          <cell r="O8">
            <v>0</v>
          </cell>
          <cell r="P8">
            <v>0</v>
          </cell>
          <cell r="Q8">
            <v>0</v>
          </cell>
          <cell r="R8">
            <v>0</v>
          </cell>
          <cell r="S8">
            <v>0</v>
          </cell>
          <cell r="T8">
            <v>1</v>
          </cell>
          <cell r="U8">
            <v>0</v>
          </cell>
          <cell r="V8">
            <v>0</v>
          </cell>
          <cell r="W8">
            <v>2</v>
          </cell>
          <cell r="X8">
            <v>1</v>
          </cell>
          <cell r="Y8">
            <v>1</v>
          </cell>
          <cell r="Z8">
            <v>0</v>
          </cell>
          <cell r="AA8">
            <v>0</v>
          </cell>
        </row>
        <row r="9">
          <cell r="A9">
            <v>8</v>
          </cell>
          <cell r="B9">
            <v>0</v>
          </cell>
          <cell r="C9">
            <v>0</v>
          </cell>
          <cell r="D9">
            <v>0</v>
          </cell>
          <cell r="E9">
            <v>0</v>
          </cell>
          <cell r="F9">
            <v>0</v>
          </cell>
          <cell r="G9">
            <v>2</v>
          </cell>
          <cell r="H9">
            <v>0</v>
          </cell>
          <cell r="I9">
            <v>0</v>
          </cell>
          <cell r="J9">
            <v>0</v>
          </cell>
          <cell r="K9">
            <v>0</v>
          </cell>
          <cell r="L9">
            <v>1</v>
          </cell>
          <cell r="M9">
            <v>1</v>
          </cell>
          <cell r="N9">
            <v>0</v>
          </cell>
          <cell r="O9">
            <v>0</v>
          </cell>
          <cell r="P9">
            <v>0</v>
          </cell>
          <cell r="Q9">
            <v>0</v>
          </cell>
          <cell r="R9">
            <v>0</v>
          </cell>
          <cell r="S9">
            <v>0</v>
          </cell>
          <cell r="T9">
            <v>0</v>
          </cell>
          <cell r="U9">
            <v>0</v>
          </cell>
          <cell r="V9">
            <v>0</v>
          </cell>
          <cell r="W9">
            <v>2</v>
          </cell>
          <cell r="X9">
            <v>1</v>
          </cell>
          <cell r="Y9">
            <v>1</v>
          </cell>
          <cell r="Z9">
            <v>0</v>
          </cell>
          <cell r="AA9">
            <v>0</v>
          </cell>
        </row>
        <row r="10">
          <cell r="A10">
            <v>9</v>
          </cell>
          <cell r="B10">
            <v>0</v>
          </cell>
          <cell r="C10">
            <v>0</v>
          </cell>
          <cell r="D10">
            <v>0</v>
          </cell>
          <cell r="E10">
            <v>0</v>
          </cell>
          <cell r="F10">
            <v>0</v>
          </cell>
          <cell r="G10">
            <v>1</v>
          </cell>
          <cell r="H10">
            <v>0</v>
          </cell>
          <cell r="I10">
            <v>0</v>
          </cell>
          <cell r="J10">
            <v>0</v>
          </cell>
          <cell r="K10">
            <v>0</v>
          </cell>
          <cell r="L10">
            <v>1</v>
          </cell>
          <cell r="M10">
            <v>0</v>
          </cell>
          <cell r="N10">
            <v>0</v>
          </cell>
          <cell r="O10">
            <v>0</v>
          </cell>
          <cell r="P10">
            <v>0</v>
          </cell>
          <cell r="Q10">
            <v>0</v>
          </cell>
          <cell r="R10">
            <v>1</v>
          </cell>
          <cell r="S10">
            <v>0</v>
          </cell>
          <cell r="T10">
            <v>1</v>
          </cell>
          <cell r="U10">
            <v>0</v>
          </cell>
          <cell r="V10">
            <v>0</v>
          </cell>
          <cell r="W10">
            <v>1</v>
          </cell>
          <cell r="X10">
            <v>1</v>
          </cell>
          <cell r="Y10">
            <v>1</v>
          </cell>
          <cell r="Z10">
            <v>0</v>
          </cell>
          <cell r="AA10">
            <v>0</v>
          </cell>
        </row>
        <row r="11">
          <cell r="A11">
            <v>10</v>
          </cell>
          <cell r="B11">
            <v>0</v>
          </cell>
          <cell r="C11">
            <v>0</v>
          </cell>
          <cell r="D11">
            <v>0</v>
          </cell>
          <cell r="E11">
            <v>0</v>
          </cell>
          <cell r="F11">
            <v>0</v>
          </cell>
          <cell r="G11">
            <v>3</v>
          </cell>
          <cell r="H11">
            <v>0</v>
          </cell>
          <cell r="I11">
            <v>0</v>
          </cell>
          <cell r="J11">
            <v>0</v>
          </cell>
          <cell r="K11">
            <v>0</v>
          </cell>
          <cell r="L11">
            <v>1</v>
          </cell>
          <cell r="M11">
            <v>0</v>
          </cell>
          <cell r="N11">
            <v>0</v>
          </cell>
          <cell r="O11">
            <v>0</v>
          </cell>
          <cell r="P11">
            <v>0</v>
          </cell>
          <cell r="Q11">
            <v>0</v>
          </cell>
          <cell r="R11">
            <v>0</v>
          </cell>
          <cell r="S11">
            <v>0</v>
          </cell>
          <cell r="T11">
            <v>1</v>
          </cell>
          <cell r="U11">
            <v>0</v>
          </cell>
          <cell r="V11">
            <v>0</v>
          </cell>
          <cell r="W11">
            <v>1</v>
          </cell>
          <cell r="X11">
            <v>1</v>
          </cell>
          <cell r="Y11">
            <v>1</v>
          </cell>
          <cell r="Z11">
            <v>0</v>
          </cell>
          <cell r="AA11">
            <v>0</v>
          </cell>
        </row>
        <row r="12">
          <cell r="A12">
            <v>11</v>
          </cell>
          <cell r="B12">
            <v>0</v>
          </cell>
          <cell r="C12">
            <v>0</v>
          </cell>
          <cell r="D12">
            <v>0</v>
          </cell>
          <cell r="E12">
            <v>0</v>
          </cell>
          <cell r="F12">
            <v>1</v>
          </cell>
          <cell r="G12">
            <v>1</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2</v>
          </cell>
          <cell r="X12">
            <v>1</v>
          </cell>
          <cell r="Y12">
            <v>1</v>
          </cell>
          <cell r="Z12">
            <v>0</v>
          </cell>
          <cell r="AA12">
            <v>0</v>
          </cell>
        </row>
        <row r="13">
          <cell r="A13">
            <v>12</v>
          </cell>
          <cell r="B13">
            <v>0</v>
          </cell>
          <cell r="C13">
            <v>0</v>
          </cell>
          <cell r="D13">
            <v>0</v>
          </cell>
          <cell r="E13">
            <v>0</v>
          </cell>
          <cell r="F13">
            <v>0</v>
          </cell>
          <cell r="G13">
            <v>1</v>
          </cell>
          <cell r="H13">
            <v>0</v>
          </cell>
          <cell r="I13">
            <v>0</v>
          </cell>
          <cell r="J13">
            <v>0</v>
          </cell>
          <cell r="K13">
            <v>1</v>
          </cell>
          <cell r="L13">
            <v>1</v>
          </cell>
          <cell r="M13">
            <v>0</v>
          </cell>
          <cell r="N13">
            <v>0</v>
          </cell>
          <cell r="O13">
            <v>0</v>
          </cell>
          <cell r="P13">
            <v>0</v>
          </cell>
          <cell r="Q13">
            <v>0</v>
          </cell>
          <cell r="R13">
            <v>0</v>
          </cell>
          <cell r="S13">
            <v>0</v>
          </cell>
          <cell r="T13">
            <v>1</v>
          </cell>
          <cell r="U13">
            <v>0</v>
          </cell>
          <cell r="V13">
            <v>0</v>
          </cell>
          <cell r="W13">
            <v>1</v>
          </cell>
          <cell r="X13">
            <v>2</v>
          </cell>
          <cell r="Y13">
            <v>0</v>
          </cell>
          <cell r="Z13">
            <v>0</v>
          </cell>
          <cell r="AA13">
            <v>0</v>
          </cell>
        </row>
        <row r="14">
          <cell r="A14">
            <v>13</v>
          </cell>
          <cell r="B14">
            <v>0</v>
          </cell>
          <cell r="C14">
            <v>0</v>
          </cell>
          <cell r="D14">
            <v>0</v>
          </cell>
          <cell r="E14">
            <v>0</v>
          </cell>
          <cell r="F14">
            <v>0</v>
          </cell>
          <cell r="G14">
            <v>1</v>
          </cell>
          <cell r="H14">
            <v>0</v>
          </cell>
          <cell r="I14">
            <v>0</v>
          </cell>
          <cell r="J14">
            <v>0</v>
          </cell>
          <cell r="K14">
            <v>0</v>
          </cell>
          <cell r="L14">
            <v>1</v>
          </cell>
          <cell r="M14">
            <v>0</v>
          </cell>
          <cell r="N14">
            <v>0</v>
          </cell>
          <cell r="O14">
            <v>0</v>
          </cell>
          <cell r="P14">
            <v>0</v>
          </cell>
          <cell r="Q14">
            <v>0</v>
          </cell>
          <cell r="R14">
            <v>0</v>
          </cell>
          <cell r="S14">
            <v>0</v>
          </cell>
          <cell r="T14">
            <v>1</v>
          </cell>
          <cell r="U14">
            <v>0</v>
          </cell>
          <cell r="V14">
            <v>0</v>
          </cell>
          <cell r="W14">
            <v>1</v>
          </cell>
          <cell r="X14">
            <v>1</v>
          </cell>
          <cell r="Y14">
            <v>0</v>
          </cell>
          <cell r="Z14">
            <v>0</v>
          </cell>
          <cell r="AA14">
            <v>0</v>
          </cell>
        </row>
        <row r="15">
          <cell r="A15">
            <v>14</v>
          </cell>
          <cell r="B15">
            <v>0</v>
          </cell>
          <cell r="C15">
            <v>0</v>
          </cell>
          <cell r="D15">
            <v>0</v>
          </cell>
          <cell r="E15">
            <v>0</v>
          </cell>
          <cell r="F15">
            <v>0</v>
          </cell>
          <cell r="G15">
            <v>1</v>
          </cell>
          <cell r="H15">
            <v>0</v>
          </cell>
          <cell r="I15">
            <v>0</v>
          </cell>
          <cell r="J15">
            <v>0</v>
          </cell>
          <cell r="K15">
            <v>0</v>
          </cell>
          <cell r="L15">
            <v>0</v>
          </cell>
          <cell r="M15">
            <v>0</v>
          </cell>
          <cell r="N15">
            <v>0</v>
          </cell>
          <cell r="O15">
            <v>0</v>
          </cell>
          <cell r="P15">
            <v>0</v>
          </cell>
          <cell r="Q15">
            <v>0</v>
          </cell>
          <cell r="R15">
            <v>0</v>
          </cell>
          <cell r="S15">
            <v>0</v>
          </cell>
          <cell r="T15">
            <v>2</v>
          </cell>
          <cell r="U15">
            <v>0</v>
          </cell>
          <cell r="V15">
            <v>0</v>
          </cell>
          <cell r="W15">
            <v>1</v>
          </cell>
          <cell r="X15">
            <v>1</v>
          </cell>
          <cell r="Y15">
            <v>1</v>
          </cell>
          <cell r="Z15">
            <v>0</v>
          </cell>
          <cell r="AA15">
            <v>0</v>
          </cell>
        </row>
        <row r="16">
          <cell r="A16">
            <v>15</v>
          </cell>
          <cell r="B16">
            <v>0</v>
          </cell>
          <cell r="C16">
            <v>0</v>
          </cell>
          <cell r="D16">
            <v>0</v>
          </cell>
          <cell r="E16">
            <v>0</v>
          </cell>
          <cell r="F16">
            <v>0</v>
          </cell>
          <cell r="G16">
            <v>1</v>
          </cell>
          <cell r="H16">
            <v>0</v>
          </cell>
          <cell r="I16">
            <v>0</v>
          </cell>
          <cell r="J16">
            <v>0</v>
          </cell>
          <cell r="K16">
            <v>0</v>
          </cell>
          <cell r="L16">
            <v>0</v>
          </cell>
          <cell r="M16">
            <v>0</v>
          </cell>
          <cell r="N16">
            <v>0</v>
          </cell>
          <cell r="O16">
            <v>0</v>
          </cell>
          <cell r="P16">
            <v>0</v>
          </cell>
          <cell r="Q16">
            <v>0</v>
          </cell>
          <cell r="R16">
            <v>1</v>
          </cell>
          <cell r="S16">
            <v>0</v>
          </cell>
          <cell r="T16">
            <v>1</v>
          </cell>
          <cell r="U16">
            <v>0</v>
          </cell>
          <cell r="V16">
            <v>0</v>
          </cell>
          <cell r="W16">
            <v>1</v>
          </cell>
          <cell r="X16">
            <v>1</v>
          </cell>
          <cell r="Y16">
            <v>0</v>
          </cell>
          <cell r="Z16">
            <v>0</v>
          </cell>
          <cell r="AA16">
            <v>0</v>
          </cell>
        </row>
        <row r="17">
          <cell r="A17">
            <v>16</v>
          </cell>
          <cell r="B17">
            <v>0</v>
          </cell>
          <cell r="C17">
            <v>0</v>
          </cell>
          <cell r="D17">
            <v>0</v>
          </cell>
          <cell r="E17">
            <v>0</v>
          </cell>
          <cell r="F17">
            <v>0</v>
          </cell>
          <cell r="G17">
            <v>1</v>
          </cell>
          <cell r="H17">
            <v>0</v>
          </cell>
          <cell r="I17">
            <v>0</v>
          </cell>
          <cell r="J17">
            <v>0</v>
          </cell>
          <cell r="K17">
            <v>0</v>
          </cell>
          <cell r="L17">
            <v>0</v>
          </cell>
          <cell r="M17">
            <v>0</v>
          </cell>
          <cell r="N17">
            <v>0</v>
          </cell>
          <cell r="O17">
            <v>0</v>
          </cell>
          <cell r="P17">
            <v>0</v>
          </cell>
          <cell r="Q17">
            <v>0</v>
          </cell>
          <cell r="R17">
            <v>0</v>
          </cell>
          <cell r="S17">
            <v>0</v>
          </cell>
          <cell r="T17">
            <v>1</v>
          </cell>
          <cell r="U17">
            <v>0</v>
          </cell>
          <cell r="V17">
            <v>0</v>
          </cell>
          <cell r="W17">
            <v>0</v>
          </cell>
          <cell r="X17">
            <v>1</v>
          </cell>
          <cell r="Y17">
            <v>1</v>
          </cell>
          <cell r="Z17">
            <v>0</v>
          </cell>
          <cell r="AA17">
            <v>0</v>
          </cell>
        </row>
        <row r="18">
          <cell r="A18">
            <v>17</v>
          </cell>
          <cell r="B18">
            <v>0</v>
          </cell>
          <cell r="C18">
            <v>0</v>
          </cell>
          <cell r="D18">
            <v>0</v>
          </cell>
          <cell r="E18">
            <v>0</v>
          </cell>
          <cell r="F18">
            <v>0</v>
          </cell>
          <cell r="G18">
            <v>1</v>
          </cell>
          <cell r="H18">
            <v>0</v>
          </cell>
          <cell r="I18">
            <v>0</v>
          </cell>
          <cell r="J18">
            <v>0</v>
          </cell>
          <cell r="K18">
            <v>0</v>
          </cell>
          <cell r="L18">
            <v>0</v>
          </cell>
          <cell r="M18">
            <v>1</v>
          </cell>
          <cell r="N18">
            <v>0</v>
          </cell>
          <cell r="O18">
            <v>0</v>
          </cell>
          <cell r="P18">
            <v>0</v>
          </cell>
          <cell r="Q18">
            <v>0</v>
          </cell>
          <cell r="R18">
            <v>0</v>
          </cell>
          <cell r="S18">
            <v>1</v>
          </cell>
          <cell r="T18">
            <v>0</v>
          </cell>
          <cell r="U18">
            <v>0</v>
          </cell>
          <cell r="V18">
            <v>0</v>
          </cell>
          <cell r="W18">
            <v>1</v>
          </cell>
          <cell r="X18">
            <v>2</v>
          </cell>
          <cell r="Y18">
            <v>1</v>
          </cell>
          <cell r="Z18">
            <v>0</v>
          </cell>
          <cell r="AA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1</v>
          </cell>
          <cell r="S19">
            <v>0</v>
          </cell>
          <cell r="T19">
            <v>0</v>
          </cell>
          <cell r="U19">
            <v>0</v>
          </cell>
          <cell r="V19">
            <v>0</v>
          </cell>
          <cell r="W19">
            <v>1</v>
          </cell>
          <cell r="X19">
            <v>1</v>
          </cell>
          <cell r="Y19">
            <v>1</v>
          </cell>
          <cell r="Z19">
            <v>0</v>
          </cell>
          <cell r="AA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1</v>
          </cell>
          <cell r="T20">
            <v>1</v>
          </cell>
          <cell r="U20">
            <v>0</v>
          </cell>
          <cell r="V20">
            <v>0</v>
          </cell>
          <cell r="W20">
            <v>1</v>
          </cell>
          <cell r="X20">
            <v>1</v>
          </cell>
          <cell r="Y20">
            <v>1</v>
          </cell>
          <cell r="Z20">
            <v>0</v>
          </cell>
          <cell r="AA20">
            <v>0</v>
          </cell>
        </row>
        <row r="21">
          <cell r="A21">
            <v>20</v>
          </cell>
          <cell r="B21">
            <v>0</v>
          </cell>
          <cell r="C21">
            <v>0</v>
          </cell>
          <cell r="D21">
            <v>0</v>
          </cell>
          <cell r="E21">
            <v>0</v>
          </cell>
          <cell r="F21">
            <v>0</v>
          </cell>
          <cell r="G21">
            <v>1</v>
          </cell>
          <cell r="H21">
            <v>0</v>
          </cell>
          <cell r="I21">
            <v>0</v>
          </cell>
          <cell r="J21">
            <v>0</v>
          </cell>
          <cell r="K21">
            <v>0</v>
          </cell>
          <cell r="L21">
            <v>1</v>
          </cell>
          <cell r="M21">
            <v>1</v>
          </cell>
          <cell r="N21">
            <v>0</v>
          </cell>
          <cell r="O21">
            <v>0</v>
          </cell>
          <cell r="P21">
            <v>0</v>
          </cell>
          <cell r="Q21">
            <v>0</v>
          </cell>
          <cell r="R21">
            <v>0</v>
          </cell>
          <cell r="S21">
            <v>0</v>
          </cell>
          <cell r="T21">
            <v>1</v>
          </cell>
          <cell r="U21">
            <v>1</v>
          </cell>
          <cell r="V21">
            <v>0</v>
          </cell>
          <cell r="W21">
            <v>1</v>
          </cell>
          <cell r="X21">
            <v>1</v>
          </cell>
          <cell r="Y21">
            <v>1</v>
          </cell>
          <cell r="Z21">
            <v>0</v>
          </cell>
          <cell r="AA21">
            <v>0</v>
          </cell>
        </row>
        <row r="22">
          <cell r="A22">
            <v>21</v>
          </cell>
          <cell r="B22">
            <v>0</v>
          </cell>
          <cell r="C22">
            <v>0</v>
          </cell>
          <cell r="D22">
            <v>0</v>
          </cell>
          <cell r="E22">
            <v>0</v>
          </cell>
          <cell r="F22">
            <v>0</v>
          </cell>
          <cell r="G22">
            <v>0</v>
          </cell>
          <cell r="H22">
            <v>0</v>
          </cell>
          <cell r="I22">
            <v>0</v>
          </cell>
          <cell r="J22">
            <v>0</v>
          </cell>
          <cell r="K22">
            <v>0</v>
          </cell>
          <cell r="L22">
            <v>0</v>
          </cell>
          <cell r="M22">
            <v>1</v>
          </cell>
          <cell r="N22">
            <v>0</v>
          </cell>
          <cell r="O22">
            <v>0</v>
          </cell>
          <cell r="P22">
            <v>0</v>
          </cell>
          <cell r="Q22">
            <v>0</v>
          </cell>
          <cell r="R22">
            <v>0</v>
          </cell>
          <cell r="S22">
            <v>1</v>
          </cell>
          <cell r="T22">
            <v>0</v>
          </cell>
          <cell r="U22">
            <v>0</v>
          </cell>
          <cell r="V22">
            <v>0</v>
          </cell>
          <cell r="W22">
            <v>1</v>
          </cell>
          <cell r="X22">
            <v>1</v>
          </cell>
          <cell r="Y22">
            <v>1</v>
          </cell>
          <cell r="Z22">
            <v>0</v>
          </cell>
          <cell r="AA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1</v>
          </cell>
          <cell r="S23">
            <v>0</v>
          </cell>
          <cell r="T23">
            <v>0</v>
          </cell>
          <cell r="U23">
            <v>0</v>
          </cell>
          <cell r="V23">
            <v>0</v>
          </cell>
          <cell r="W23">
            <v>1</v>
          </cell>
          <cell r="X23">
            <v>1</v>
          </cell>
          <cell r="Y23">
            <v>1</v>
          </cell>
          <cell r="Z23">
            <v>0</v>
          </cell>
          <cell r="AA23">
            <v>0</v>
          </cell>
        </row>
        <row r="24">
          <cell r="A24">
            <v>23</v>
          </cell>
          <cell r="B24">
            <v>0</v>
          </cell>
          <cell r="C24">
            <v>0</v>
          </cell>
          <cell r="D24">
            <v>0</v>
          </cell>
          <cell r="E24">
            <v>0</v>
          </cell>
          <cell r="F24">
            <v>0</v>
          </cell>
          <cell r="G24">
            <v>1</v>
          </cell>
          <cell r="H24">
            <v>0</v>
          </cell>
          <cell r="I24">
            <v>0</v>
          </cell>
          <cell r="J24">
            <v>0</v>
          </cell>
          <cell r="K24">
            <v>0</v>
          </cell>
          <cell r="L24">
            <v>0</v>
          </cell>
          <cell r="M24">
            <v>0</v>
          </cell>
          <cell r="N24">
            <v>0</v>
          </cell>
          <cell r="O24">
            <v>0</v>
          </cell>
          <cell r="P24">
            <v>0</v>
          </cell>
          <cell r="Q24">
            <v>0</v>
          </cell>
          <cell r="R24">
            <v>1</v>
          </cell>
          <cell r="S24">
            <v>1</v>
          </cell>
          <cell r="T24">
            <v>0</v>
          </cell>
          <cell r="U24">
            <v>0</v>
          </cell>
          <cell r="V24">
            <v>0</v>
          </cell>
          <cell r="W24">
            <v>1</v>
          </cell>
          <cell r="X24">
            <v>2</v>
          </cell>
          <cell r="Y24">
            <v>1</v>
          </cell>
          <cell r="Z24">
            <v>0</v>
          </cell>
          <cell r="AA24">
            <v>0</v>
          </cell>
        </row>
        <row r="25">
          <cell r="A25">
            <v>24</v>
          </cell>
          <cell r="B25">
            <v>0</v>
          </cell>
          <cell r="C25">
            <v>0</v>
          </cell>
          <cell r="D25">
            <v>0</v>
          </cell>
          <cell r="E25">
            <v>0</v>
          </cell>
          <cell r="F25">
            <v>0</v>
          </cell>
          <cell r="G25">
            <v>1</v>
          </cell>
          <cell r="H25">
            <v>0</v>
          </cell>
          <cell r="I25">
            <v>0</v>
          </cell>
          <cell r="J25">
            <v>0</v>
          </cell>
          <cell r="K25">
            <v>0</v>
          </cell>
          <cell r="L25">
            <v>0</v>
          </cell>
          <cell r="M25">
            <v>0</v>
          </cell>
          <cell r="N25">
            <v>0</v>
          </cell>
          <cell r="O25">
            <v>0</v>
          </cell>
          <cell r="P25">
            <v>0</v>
          </cell>
          <cell r="Q25">
            <v>0</v>
          </cell>
          <cell r="R25">
            <v>1</v>
          </cell>
          <cell r="S25">
            <v>0</v>
          </cell>
          <cell r="T25">
            <v>1</v>
          </cell>
          <cell r="U25">
            <v>0</v>
          </cell>
          <cell r="V25">
            <v>0</v>
          </cell>
          <cell r="W25">
            <v>1</v>
          </cell>
          <cell r="X25">
            <v>1</v>
          </cell>
          <cell r="Y25">
            <v>0</v>
          </cell>
          <cell r="Z25">
            <v>0</v>
          </cell>
          <cell r="AA25">
            <v>0</v>
          </cell>
        </row>
        <row r="26">
          <cell r="A26">
            <v>25</v>
          </cell>
          <cell r="B26">
            <v>0</v>
          </cell>
          <cell r="C26">
            <v>0</v>
          </cell>
          <cell r="D26">
            <v>0</v>
          </cell>
          <cell r="E26">
            <v>0</v>
          </cell>
          <cell r="F26">
            <v>0</v>
          </cell>
          <cell r="G26">
            <v>1</v>
          </cell>
          <cell r="H26">
            <v>0</v>
          </cell>
          <cell r="I26">
            <v>0</v>
          </cell>
          <cell r="J26">
            <v>0</v>
          </cell>
          <cell r="K26">
            <v>0</v>
          </cell>
          <cell r="L26">
            <v>0</v>
          </cell>
          <cell r="M26">
            <v>1</v>
          </cell>
          <cell r="N26">
            <v>0</v>
          </cell>
          <cell r="O26">
            <v>0</v>
          </cell>
          <cell r="P26">
            <v>0</v>
          </cell>
          <cell r="Q26">
            <v>0</v>
          </cell>
          <cell r="R26">
            <v>0</v>
          </cell>
          <cell r="S26">
            <v>0</v>
          </cell>
          <cell r="T26">
            <v>0</v>
          </cell>
          <cell r="U26">
            <v>0</v>
          </cell>
          <cell r="V26">
            <v>0</v>
          </cell>
          <cell r="W26">
            <v>1</v>
          </cell>
          <cell r="X26">
            <v>0</v>
          </cell>
          <cell r="Y26">
            <v>1</v>
          </cell>
          <cell r="Z26">
            <v>0</v>
          </cell>
          <cell r="AA26">
            <v>0</v>
          </cell>
        </row>
        <row r="27">
          <cell r="A27">
            <v>26</v>
          </cell>
          <cell r="B27">
            <v>0</v>
          </cell>
          <cell r="C27">
            <v>0</v>
          </cell>
          <cell r="D27">
            <v>0</v>
          </cell>
          <cell r="E27">
            <v>0</v>
          </cell>
          <cell r="F27">
            <v>0</v>
          </cell>
          <cell r="G27">
            <v>1</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0</v>
          </cell>
          <cell r="W27">
            <v>1</v>
          </cell>
          <cell r="X27">
            <v>1</v>
          </cell>
          <cell r="Y27">
            <v>1</v>
          </cell>
          <cell r="Z27">
            <v>0</v>
          </cell>
          <cell r="AA27">
            <v>0</v>
          </cell>
        </row>
        <row r="28">
          <cell r="A28">
            <v>27</v>
          </cell>
          <cell r="B28">
            <v>0</v>
          </cell>
          <cell r="C28">
            <v>0</v>
          </cell>
          <cell r="D28">
            <v>0</v>
          </cell>
          <cell r="E28">
            <v>0</v>
          </cell>
          <cell r="F28">
            <v>0</v>
          </cell>
          <cell r="G28">
            <v>0</v>
          </cell>
          <cell r="H28">
            <v>0</v>
          </cell>
          <cell r="I28">
            <v>0</v>
          </cell>
          <cell r="J28">
            <v>0</v>
          </cell>
          <cell r="K28">
            <v>0</v>
          </cell>
          <cell r="L28">
            <v>0</v>
          </cell>
          <cell r="M28">
            <v>1</v>
          </cell>
          <cell r="N28">
            <v>0</v>
          </cell>
          <cell r="O28">
            <v>0</v>
          </cell>
          <cell r="P28">
            <v>0</v>
          </cell>
          <cell r="Q28">
            <v>0</v>
          </cell>
          <cell r="R28">
            <v>0</v>
          </cell>
          <cell r="S28">
            <v>0</v>
          </cell>
          <cell r="T28">
            <v>0</v>
          </cell>
          <cell r="U28">
            <v>0</v>
          </cell>
          <cell r="V28">
            <v>0</v>
          </cell>
          <cell r="W28">
            <v>0</v>
          </cell>
          <cell r="X28">
            <v>1</v>
          </cell>
          <cell r="Y28">
            <v>1</v>
          </cell>
          <cell r="Z28">
            <v>0</v>
          </cell>
          <cell r="AA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1</v>
          </cell>
          <cell r="T29">
            <v>1</v>
          </cell>
          <cell r="U29">
            <v>0</v>
          </cell>
          <cell r="V29">
            <v>0</v>
          </cell>
          <cell r="W29">
            <v>0</v>
          </cell>
          <cell r="X29">
            <v>1</v>
          </cell>
          <cell r="Y29">
            <v>0</v>
          </cell>
          <cell r="Z29">
            <v>0</v>
          </cell>
          <cell r="AA29">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Unnamed: 0</v>
          </cell>
          <cell r="C1" t="str">
            <v>AH</v>
          </cell>
          <cell r="D1" t="str">
            <v>AMARILLOS</v>
          </cell>
          <cell r="E1" t="str">
            <v>DEMOCRATAS</v>
          </cell>
          <cell r="F1" t="str">
            <v>EVOPOLI</v>
          </cell>
          <cell r="G1" t="str">
            <v>FA</v>
          </cell>
          <cell r="H1" t="str">
            <v>FREVS</v>
          </cell>
          <cell r="I1" t="str">
            <v>IGUALDAD</v>
          </cell>
          <cell r="J1" t="str">
            <v>IND - CANDIDATURAS INDEPENDIENTES</v>
          </cell>
          <cell r="K1" t="str">
            <v>PAVP</v>
          </cell>
          <cell r="L1" t="str">
            <v>PCCH</v>
          </cell>
          <cell r="M1" t="str">
            <v>PDC</v>
          </cell>
          <cell r="N1" t="str">
            <v>PDG</v>
          </cell>
          <cell r="O1" t="str">
            <v>PH</v>
          </cell>
          <cell r="P1" t="str">
            <v>PL</v>
          </cell>
          <cell r="Q1" t="str">
            <v>POPULAR</v>
          </cell>
          <cell r="R1" t="str">
            <v>PPD</v>
          </cell>
          <cell r="S1" t="str">
            <v>PR</v>
          </cell>
          <cell r="T1" t="str">
            <v>PS</v>
          </cell>
          <cell r="U1" t="str">
            <v>PSC</v>
          </cell>
          <cell r="V1" t="str">
            <v>PTR</v>
          </cell>
          <cell r="W1" t="str">
            <v>REPUBLICANO</v>
          </cell>
          <cell r="X1" t="str">
            <v>RN</v>
          </cell>
          <cell r="Y1" t="str">
            <v>UDI</v>
          </cell>
          <cell r="Z1" t="str">
            <v>Votos Blancos</v>
          </cell>
          <cell r="AA1" t="str">
            <v>Votos Nulos</v>
          </cell>
        </row>
        <row r="2">
          <cell r="A2">
            <v>1</v>
          </cell>
          <cell r="B2">
            <v>0</v>
          </cell>
          <cell r="C2">
            <v>0</v>
          </cell>
          <cell r="D2">
            <v>0</v>
          </cell>
          <cell r="E2">
            <v>0</v>
          </cell>
          <cell r="F2">
            <v>0</v>
          </cell>
          <cell r="G2">
            <v>0</v>
          </cell>
          <cell r="H2">
            <v>0</v>
          </cell>
          <cell r="I2">
            <v>0</v>
          </cell>
          <cell r="J2">
            <v>0</v>
          </cell>
          <cell r="K2">
            <v>0</v>
          </cell>
          <cell r="L2">
            <v>1</v>
          </cell>
          <cell r="M2">
            <v>0</v>
          </cell>
          <cell r="N2">
            <v>0</v>
          </cell>
          <cell r="O2">
            <v>0</v>
          </cell>
          <cell r="P2">
            <v>0</v>
          </cell>
          <cell r="Q2">
            <v>0</v>
          </cell>
          <cell r="R2">
            <v>0</v>
          </cell>
          <cell r="S2">
            <v>0</v>
          </cell>
          <cell r="T2">
            <v>0</v>
          </cell>
          <cell r="U2">
            <v>0</v>
          </cell>
          <cell r="V2">
            <v>0</v>
          </cell>
          <cell r="W2">
            <v>1</v>
          </cell>
          <cell r="X2">
            <v>1</v>
          </cell>
          <cell r="Y2">
            <v>0</v>
          </cell>
          <cell r="Z2">
            <v>0</v>
          </cell>
          <cell r="AA2">
            <v>0</v>
          </cell>
        </row>
        <row r="3">
          <cell r="A3">
            <v>2</v>
          </cell>
          <cell r="B3">
            <v>0</v>
          </cell>
          <cell r="C3">
            <v>0</v>
          </cell>
          <cell r="D3">
            <v>0</v>
          </cell>
          <cell r="E3">
            <v>0</v>
          </cell>
          <cell r="F3">
            <v>0</v>
          </cell>
          <cell r="G3">
            <v>1</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1</v>
          </cell>
          <cell r="X3">
            <v>1</v>
          </cell>
          <cell r="Y3">
            <v>0</v>
          </cell>
          <cell r="Z3">
            <v>0</v>
          </cell>
          <cell r="AA3">
            <v>0</v>
          </cell>
        </row>
        <row r="4">
          <cell r="A4">
            <v>3</v>
          </cell>
          <cell r="B4">
            <v>0</v>
          </cell>
          <cell r="C4">
            <v>0</v>
          </cell>
          <cell r="D4">
            <v>0</v>
          </cell>
          <cell r="E4">
            <v>0</v>
          </cell>
          <cell r="F4">
            <v>0</v>
          </cell>
          <cell r="G4">
            <v>0</v>
          </cell>
          <cell r="H4">
            <v>1</v>
          </cell>
          <cell r="I4">
            <v>0</v>
          </cell>
          <cell r="J4">
            <v>0</v>
          </cell>
          <cell r="K4">
            <v>0</v>
          </cell>
          <cell r="L4">
            <v>1</v>
          </cell>
          <cell r="M4">
            <v>0</v>
          </cell>
          <cell r="N4">
            <v>0</v>
          </cell>
          <cell r="O4">
            <v>0</v>
          </cell>
          <cell r="P4">
            <v>0</v>
          </cell>
          <cell r="Q4">
            <v>0</v>
          </cell>
          <cell r="R4">
            <v>0</v>
          </cell>
          <cell r="S4">
            <v>0</v>
          </cell>
          <cell r="T4">
            <v>0</v>
          </cell>
          <cell r="U4">
            <v>0</v>
          </cell>
          <cell r="V4">
            <v>0</v>
          </cell>
          <cell r="W4">
            <v>1</v>
          </cell>
          <cell r="X4">
            <v>1</v>
          </cell>
          <cell r="Y4">
            <v>1</v>
          </cell>
          <cell r="Z4">
            <v>0</v>
          </cell>
          <cell r="AA4">
            <v>0</v>
          </cell>
        </row>
        <row r="5">
          <cell r="A5">
            <v>4</v>
          </cell>
          <cell r="B5">
            <v>0</v>
          </cell>
          <cell r="C5">
            <v>0</v>
          </cell>
          <cell r="D5">
            <v>0</v>
          </cell>
          <cell r="E5">
            <v>0</v>
          </cell>
          <cell r="F5">
            <v>0</v>
          </cell>
          <cell r="G5">
            <v>0</v>
          </cell>
          <cell r="H5">
            <v>1</v>
          </cell>
          <cell r="I5">
            <v>0</v>
          </cell>
          <cell r="J5">
            <v>0</v>
          </cell>
          <cell r="K5">
            <v>0</v>
          </cell>
          <cell r="L5">
            <v>1</v>
          </cell>
          <cell r="M5">
            <v>0</v>
          </cell>
          <cell r="N5">
            <v>0</v>
          </cell>
          <cell r="O5">
            <v>0</v>
          </cell>
          <cell r="P5">
            <v>0</v>
          </cell>
          <cell r="Q5">
            <v>0</v>
          </cell>
          <cell r="R5">
            <v>0</v>
          </cell>
          <cell r="S5">
            <v>0</v>
          </cell>
          <cell r="T5">
            <v>1</v>
          </cell>
          <cell r="U5">
            <v>0</v>
          </cell>
          <cell r="V5">
            <v>0</v>
          </cell>
          <cell r="W5">
            <v>1</v>
          </cell>
          <cell r="X5">
            <v>1</v>
          </cell>
          <cell r="Y5">
            <v>0</v>
          </cell>
          <cell r="Z5">
            <v>0</v>
          </cell>
          <cell r="AA5">
            <v>0</v>
          </cell>
        </row>
        <row r="6">
          <cell r="A6">
            <v>5</v>
          </cell>
          <cell r="B6">
            <v>0</v>
          </cell>
          <cell r="C6">
            <v>0</v>
          </cell>
          <cell r="D6">
            <v>0</v>
          </cell>
          <cell r="E6">
            <v>0</v>
          </cell>
          <cell r="F6">
            <v>0</v>
          </cell>
          <cell r="G6">
            <v>0</v>
          </cell>
          <cell r="H6">
            <v>0</v>
          </cell>
          <cell r="I6">
            <v>0</v>
          </cell>
          <cell r="J6">
            <v>0</v>
          </cell>
          <cell r="K6">
            <v>0</v>
          </cell>
          <cell r="L6">
            <v>1</v>
          </cell>
          <cell r="M6">
            <v>1</v>
          </cell>
          <cell r="N6">
            <v>0</v>
          </cell>
          <cell r="O6">
            <v>0</v>
          </cell>
          <cell r="P6">
            <v>0</v>
          </cell>
          <cell r="Q6">
            <v>0</v>
          </cell>
          <cell r="R6">
            <v>0</v>
          </cell>
          <cell r="S6">
            <v>0</v>
          </cell>
          <cell r="T6">
            <v>1</v>
          </cell>
          <cell r="U6">
            <v>0</v>
          </cell>
          <cell r="V6">
            <v>0</v>
          </cell>
          <cell r="W6">
            <v>1</v>
          </cell>
          <cell r="X6">
            <v>1</v>
          </cell>
          <cell r="Y6">
            <v>2</v>
          </cell>
          <cell r="Z6">
            <v>0</v>
          </cell>
          <cell r="AA6">
            <v>0</v>
          </cell>
        </row>
        <row r="7">
          <cell r="A7">
            <v>6</v>
          </cell>
          <cell r="B7">
            <v>0</v>
          </cell>
          <cell r="C7">
            <v>0</v>
          </cell>
          <cell r="D7">
            <v>0</v>
          </cell>
          <cell r="E7">
            <v>0</v>
          </cell>
          <cell r="F7">
            <v>0</v>
          </cell>
          <cell r="G7">
            <v>1</v>
          </cell>
          <cell r="H7">
            <v>0</v>
          </cell>
          <cell r="I7">
            <v>0</v>
          </cell>
          <cell r="J7">
            <v>0</v>
          </cell>
          <cell r="K7">
            <v>0</v>
          </cell>
          <cell r="L7">
            <v>1</v>
          </cell>
          <cell r="M7">
            <v>1</v>
          </cell>
          <cell r="N7">
            <v>0</v>
          </cell>
          <cell r="O7">
            <v>0</v>
          </cell>
          <cell r="P7">
            <v>0</v>
          </cell>
          <cell r="Q7">
            <v>0</v>
          </cell>
          <cell r="R7">
            <v>0</v>
          </cell>
          <cell r="S7">
            <v>0</v>
          </cell>
          <cell r="T7">
            <v>0</v>
          </cell>
          <cell r="U7">
            <v>0</v>
          </cell>
          <cell r="V7">
            <v>0</v>
          </cell>
          <cell r="W7">
            <v>2</v>
          </cell>
          <cell r="X7">
            <v>2</v>
          </cell>
          <cell r="Y7">
            <v>1</v>
          </cell>
          <cell r="Z7">
            <v>0</v>
          </cell>
          <cell r="AA7">
            <v>0</v>
          </cell>
        </row>
        <row r="8">
          <cell r="A8">
            <v>7</v>
          </cell>
          <cell r="B8">
            <v>0</v>
          </cell>
          <cell r="C8">
            <v>0</v>
          </cell>
          <cell r="D8">
            <v>0</v>
          </cell>
          <cell r="E8">
            <v>0</v>
          </cell>
          <cell r="F8">
            <v>0</v>
          </cell>
          <cell r="G8">
            <v>2</v>
          </cell>
          <cell r="H8">
            <v>0</v>
          </cell>
          <cell r="I8">
            <v>0</v>
          </cell>
          <cell r="J8">
            <v>0</v>
          </cell>
          <cell r="K8">
            <v>0</v>
          </cell>
          <cell r="L8">
            <v>1</v>
          </cell>
          <cell r="M8">
            <v>1</v>
          </cell>
          <cell r="N8">
            <v>0</v>
          </cell>
          <cell r="O8">
            <v>0</v>
          </cell>
          <cell r="P8">
            <v>0</v>
          </cell>
          <cell r="Q8">
            <v>0</v>
          </cell>
          <cell r="R8">
            <v>0</v>
          </cell>
          <cell r="S8">
            <v>0</v>
          </cell>
          <cell r="T8">
            <v>0</v>
          </cell>
          <cell r="U8">
            <v>0</v>
          </cell>
          <cell r="V8">
            <v>0</v>
          </cell>
          <cell r="W8">
            <v>2</v>
          </cell>
          <cell r="X8">
            <v>1</v>
          </cell>
          <cell r="Y8">
            <v>1</v>
          </cell>
          <cell r="Z8">
            <v>0</v>
          </cell>
          <cell r="AA8">
            <v>0</v>
          </cell>
        </row>
        <row r="9">
          <cell r="A9">
            <v>8</v>
          </cell>
          <cell r="B9">
            <v>0</v>
          </cell>
          <cell r="C9">
            <v>0</v>
          </cell>
          <cell r="D9">
            <v>0</v>
          </cell>
          <cell r="E9">
            <v>0</v>
          </cell>
          <cell r="F9">
            <v>0</v>
          </cell>
          <cell r="G9">
            <v>2</v>
          </cell>
          <cell r="H9">
            <v>0</v>
          </cell>
          <cell r="I9">
            <v>0</v>
          </cell>
          <cell r="J9">
            <v>0</v>
          </cell>
          <cell r="K9">
            <v>0</v>
          </cell>
          <cell r="L9">
            <v>1</v>
          </cell>
          <cell r="M9">
            <v>1</v>
          </cell>
          <cell r="N9">
            <v>0</v>
          </cell>
          <cell r="O9">
            <v>0</v>
          </cell>
          <cell r="P9">
            <v>0</v>
          </cell>
          <cell r="Q9">
            <v>0</v>
          </cell>
          <cell r="R9">
            <v>0</v>
          </cell>
          <cell r="S9">
            <v>0</v>
          </cell>
          <cell r="T9">
            <v>0</v>
          </cell>
          <cell r="U9">
            <v>0</v>
          </cell>
          <cell r="V9">
            <v>0</v>
          </cell>
          <cell r="W9">
            <v>2</v>
          </cell>
          <cell r="X9">
            <v>1</v>
          </cell>
          <cell r="Y9">
            <v>1</v>
          </cell>
          <cell r="Z9">
            <v>0</v>
          </cell>
          <cell r="AA9">
            <v>0</v>
          </cell>
        </row>
        <row r="10">
          <cell r="A10">
            <v>9</v>
          </cell>
          <cell r="B10">
            <v>0</v>
          </cell>
          <cell r="C10">
            <v>0</v>
          </cell>
          <cell r="D10">
            <v>0</v>
          </cell>
          <cell r="E10">
            <v>0</v>
          </cell>
          <cell r="F10">
            <v>0</v>
          </cell>
          <cell r="G10">
            <v>1</v>
          </cell>
          <cell r="H10">
            <v>0</v>
          </cell>
          <cell r="I10">
            <v>0</v>
          </cell>
          <cell r="J10">
            <v>0</v>
          </cell>
          <cell r="K10">
            <v>0</v>
          </cell>
          <cell r="L10">
            <v>1</v>
          </cell>
          <cell r="M10">
            <v>1</v>
          </cell>
          <cell r="N10">
            <v>0</v>
          </cell>
          <cell r="O10">
            <v>0</v>
          </cell>
          <cell r="P10">
            <v>0</v>
          </cell>
          <cell r="Q10">
            <v>0</v>
          </cell>
          <cell r="R10">
            <v>0</v>
          </cell>
          <cell r="S10">
            <v>0</v>
          </cell>
          <cell r="T10">
            <v>1</v>
          </cell>
          <cell r="U10">
            <v>0</v>
          </cell>
          <cell r="V10">
            <v>0</v>
          </cell>
          <cell r="W10">
            <v>1</v>
          </cell>
          <cell r="X10">
            <v>1</v>
          </cell>
          <cell r="Y10">
            <v>1</v>
          </cell>
          <cell r="Z10">
            <v>0</v>
          </cell>
          <cell r="AA10">
            <v>0</v>
          </cell>
        </row>
        <row r="11">
          <cell r="A11">
            <v>10</v>
          </cell>
          <cell r="B11">
            <v>0</v>
          </cell>
          <cell r="C11">
            <v>0</v>
          </cell>
          <cell r="D11">
            <v>0</v>
          </cell>
          <cell r="E11">
            <v>0</v>
          </cell>
          <cell r="F11">
            <v>0</v>
          </cell>
          <cell r="G11">
            <v>3</v>
          </cell>
          <cell r="H11">
            <v>0</v>
          </cell>
          <cell r="I11">
            <v>0</v>
          </cell>
          <cell r="J11">
            <v>0</v>
          </cell>
          <cell r="K11">
            <v>0</v>
          </cell>
          <cell r="L11">
            <v>1</v>
          </cell>
          <cell r="M11">
            <v>1</v>
          </cell>
          <cell r="N11">
            <v>0</v>
          </cell>
          <cell r="O11">
            <v>0</v>
          </cell>
          <cell r="P11">
            <v>0</v>
          </cell>
          <cell r="Q11">
            <v>0</v>
          </cell>
          <cell r="R11">
            <v>0</v>
          </cell>
          <cell r="S11">
            <v>0</v>
          </cell>
          <cell r="T11">
            <v>0</v>
          </cell>
          <cell r="U11">
            <v>0</v>
          </cell>
          <cell r="V11">
            <v>0</v>
          </cell>
          <cell r="W11">
            <v>1</v>
          </cell>
          <cell r="X11">
            <v>1</v>
          </cell>
          <cell r="Y11">
            <v>1</v>
          </cell>
          <cell r="Z11">
            <v>0</v>
          </cell>
          <cell r="AA11">
            <v>0</v>
          </cell>
        </row>
        <row r="12">
          <cell r="A12">
            <v>11</v>
          </cell>
          <cell r="B12">
            <v>0</v>
          </cell>
          <cell r="C12">
            <v>0</v>
          </cell>
          <cell r="D12">
            <v>0</v>
          </cell>
          <cell r="E12">
            <v>0</v>
          </cell>
          <cell r="F12">
            <v>1</v>
          </cell>
          <cell r="G12">
            <v>1</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2</v>
          </cell>
          <cell r="X12">
            <v>1</v>
          </cell>
          <cell r="Y12">
            <v>1</v>
          </cell>
          <cell r="Z12">
            <v>0</v>
          </cell>
          <cell r="AA12">
            <v>0</v>
          </cell>
        </row>
        <row r="13">
          <cell r="A13">
            <v>12</v>
          </cell>
          <cell r="B13">
            <v>0</v>
          </cell>
          <cell r="C13">
            <v>0</v>
          </cell>
          <cell r="D13">
            <v>0</v>
          </cell>
          <cell r="E13">
            <v>0</v>
          </cell>
          <cell r="F13">
            <v>0</v>
          </cell>
          <cell r="G13">
            <v>1</v>
          </cell>
          <cell r="H13">
            <v>0</v>
          </cell>
          <cell r="I13">
            <v>0</v>
          </cell>
          <cell r="J13">
            <v>0</v>
          </cell>
          <cell r="K13">
            <v>0</v>
          </cell>
          <cell r="L13">
            <v>2</v>
          </cell>
          <cell r="M13">
            <v>1</v>
          </cell>
          <cell r="N13">
            <v>0</v>
          </cell>
          <cell r="O13">
            <v>0</v>
          </cell>
          <cell r="P13">
            <v>0</v>
          </cell>
          <cell r="Q13">
            <v>0</v>
          </cell>
          <cell r="R13">
            <v>0</v>
          </cell>
          <cell r="S13">
            <v>0</v>
          </cell>
          <cell r="T13">
            <v>0</v>
          </cell>
          <cell r="U13">
            <v>0</v>
          </cell>
          <cell r="V13">
            <v>0</v>
          </cell>
          <cell r="W13">
            <v>1</v>
          </cell>
          <cell r="X13">
            <v>2</v>
          </cell>
          <cell r="Y13">
            <v>0</v>
          </cell>
          <cell r="Z13">
            <v>0</v>
          </cell>
          <cell r="AA13">
            <v>0</v>
          </cell>
        </row>
        <row r="14">
          <cell r="A14">
            <v>13</v>
          </cell>
          <cell r="B14">
            <v>0</v>
          </cell>
          <cell r="C14">
            <v>0</v>
          </cell>
          <cell r="D14">
            <v>0</v>
          </cell>
          <cell r="E14">
            <v>0</v>
          </cell>
          <cell r="F14">
            <v>0</v>
          </cell>
          <cell r="G14">
            <v>1</v>
          </cell>
          <cell r="H14">
            <v>0</v>
          </cell>
          <cell r="I14">
            <v>0</v>
          </cell>
          <cell r="J14">
            <v>0</v>
          </cell>
          <cell r="K14">
            <v>0</v>
          </cell>
          <cell r="L14">
            <v>1</v>
          </cell>
          <cell r="M14">
            <v>0</v>
          </cell>
          <cell r="N14">
            <v>0</v>
          </cell>
          <cell r="O14">
            <v>0</v>
          </cell>
          <cell r="P14">
            <v>0</v>
          </cell>
          <cell r="Q14">
            <v>0</v>
          </cell>
          <cell r="R14">
            <v>0</v>
          </cell>
          <cell r="S14">
            <v>0</v>
          </cell>
          <cell r="T14">
            <v>1</v>
          </cell>
          <cell r="U14">
            <v>0</v>
          </cell>
          <cell r="V14">
            <v>0</v>
          </cell>
          <cell r="W14">
            <v>1</v>
          </cell>
          <cell r="X14">
            <v>1</v>
          </cell>
          <cell r="Y14">
            <v>0</v>
          </cell>
          <cell r="Z14">
            <v>0</v>
          </cell>
          <cell r="AA14">
            <v>0</v>
          </cell>
        </row>
        <row r="15">
          <cell r="A15">
            <v>14</v>
          </cell>
          <cell r="B15">
            <v>0</v>
          </cell>
          <cell r="C15">
            <v>0</v>
          </cell>
          <cell r="D15">
            <v>0</v>
          </cell>
          <cell r="E15">
            <v>0</v>
          </cell>
          <cell r="F15">
            <v>0</v>
          </cell>
          <cell r="G15">
            <v>1</v>
          </cell>
          <cell r="H15">
            <v>0</v>
          </cell>
          <cell r="I15">
            <v>0</v>
          </cell>
          <cell r="J15">
            <v>0</v>
          </cell>
          <cell r="K15">
            <v>0</v>
          </cell>
          <cell r="L15">
            <v>0</v>
          </cell>
          <cell r="M15">
            <v>1</v>
          </cell>
          <cell r="N15">
            <v>0</v>
          </cell>
          <cell r="O15">
            <v>0</v>
          </cell>
          <cell r="P15">
            <v>0</v>
          </cell>
          <cell r="Q15">
            <v>0</v>
          </cell>
          <cell r="R15">
            <v>0</v>
          </cell>
          <cell r="S15">
            <v>0</v>
          </cell>
          <cell r="T15">
            <v>1</v>
          </cell>
          <cell r="U15">
            <v>0</v>
          </cell>
          <cell r="V15">
            <v>0</v>
          </cell>
          <cell r="W15">
            <v>1</v>
          </cell>
          <cell r="X15">
            <v>1</v>
          </cell>
          <cell r="Y15">
            <v>1</v>
          </cell>
          <cell r="Z15">
            <v>0</v>
          </cell>
          <cell r="AA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1</v>
          </cell>
          <cell r="S16">
            <v>1</v>
          </cell>
          <cell r="T16">
            <v>1</v>
          </cell>
          <cell r="U16">
            <v>0</v>
          </cell>
          <cell r="V16">
            <v>0</v>
          </cell>
          <cell r="W16">
            <v>1</v>
          </cell>
          <cell r="X16">
            <v>1</v>
          </cell>
          <cell r="Y16">
            <v>0</v>
          </cell>
          <cell r="Z16">
            <v>0</v>
          </cell>
          <cell r="AA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1</v>
          </cell>
          <cell r="T17">
            <v>1</v>
          </cell>
          <cell r="U17">
            <v>0</v>
          </cell>
          <cell r="V17">
            <v>0</v>
          </cell>
          <cell r="W17">
            <v>0</v>
          </cell>
          <cell r="X17">
            <v>1</v>
          </cell>
          <cell r="Y17">
            <v>1</v>
          </cell>
          <cell r="Z17">
            <v>0</v>
          </cell>
          <cell r="AA17">
            <v>0</v>
          </cell>
        </row>
        <row r="18">
          <cell r="A18">
            <v>17</v>
          </cell>
          <cell r="B18">
            <v>0</v>
          </cell>
          <cell r="C18">
            <v>0</v>
          </cell>
          <cell r="D18">
            <v>0</v>
          </cell>
          <cell r="E18">
            <v>0</v>
          </cell>
          <cell r="F18">
            <v>0</v>
          </cell>
          <cell r="G18">
            <v>0</v>
          </cell>
          <cell r="H18">
            <v>0</v>
          </cell>
          <cell r="I18">
            <v>0</v>
          </cell>
          <cell r="J18">
            <v>0</v>
          </cell>
          <cell r="K18">
            <v>0</v>
          </cell>
          <cell r="L18">
            <v>0</v>
          </cell>
          <cell r="M18">
            <v>1</v>
          </cell>
          <cell r="N18">
            <v>0</v>
          </cell>
          <cell r="O18">
            <v>0</v>
          </cell>
          <cell r="P18">
            <v>0</v>
          </cell>
          <cell r="Q18">
            <v>0</v>
          </cell>
          <cell r="R18">
            <v>0</v>
          </cell>
          <cell r="S18">
            <v>1</v>
          </cell>
          <cell r="T18">
            <v>1</v>
          </cell>
          <cell r="U18">
            <v>0</v>
          </cell>
          <cell r="V18">
            <v>0</v>
          </cell>
          <cell r="W18">
            <v>1</v>
          </cell>
          <cell r="X18">
            <v>2</v>
          </cell>
          <cell r="Y18">
            <v>1</v>
          </cell>
          <cell r="Z18">
            <v>0</v>
          </cell>
          <cell r="AA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1</v>
          </cell>
          <cell r="S19">
            <v>0</v>
          </cell>
          <cell r="T19">
            <v>0</v>
          </cell>
          <cell r="U19">
            <v>0</v>
          </cell>
          <cell r="V19">
            <v>0</v>
          </cell>
          <cell r="W19">
            <v>1</v>
          </cell>
          <cell r="X19">
            <v>1</v>
          </cell>
          <cell r="Y19">
            <v>1</v>
          </cell>
          <cell r="Z19">
            <v>0</v>
          </cell>
          <cell r="AA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1</v>
          </cell>
          <cell r="T20">
            <v>1</v>
          </cell>
          <cell r="U20">
            <v>0</v>
          </cell>
          <cell r="V20">
            <v>0</v>
          </cell>
          <cell r="W20">
            <v>1</v>
          </cell>
          <cell r="X20">
            <v>1</v>
          </cell>
          <cell r="Y20">
            <v>1</v>
          </cell>
          <cell r="Z20">
            <v>0</v>
          </cell>
          <cell r="AA20">
            <v>0</v>
          </cell>
        </row>
        <row r="21">
          <cell r="A21">
            <v>20</v>
          </cell>
          <cell r="B21">
            <v>0</v>
          </cell>
          <cell r="C21">
            <v>0</v>
          </cell>
          <cell r="D21">
            <v>0</v>
          </cell>
          <cell r="E21">
            <v>0</v>
          </cell>
          <cell r="F21">
            <v>0</v>
          </cell>
          <cell r="G21">
            <v>1</v>
          </cell>
          <cell r="H21">
            <v>1</v>
          </cell>
          <cell r="I21">
            <v>0</v>
          </cell>
          <cell r="J21">
            <v>0</v>
          </cell>
          <cell r="K21">
            <v>0</v>
          </cell>
          <cell r="L21">
            <v>1</v>
          </cell>
          <cell r="M21">
            <v>1</v>
          </cell>
          <cell r="N21">
            <v>0</v>
          </cell>
          <cell r="O21">
            <v>0</v>
          </cell>
          <cell r="P21">
            <v>0</v>
          </cell>
          <cell r="Q21">
            <v>0</v>
          </cell>
          <cell r="R21">
            <v>0</v>
          </cell>
          <cell r="S21">
            <v>0</v>
          </cell>
          <cell r="T21">
            <v>0</v>
          </cell>
          <cell r="U21">
            <v>1</v>
          </cell>
          <cell r="V21">
            <v>0</v>
          </cell>
          <cell r="W21">
            <v>1</v>
          </cell>
          <cell r="X21">
            <v>1</v>
          </cell>
          <cell r="Y21">
            <v>1</v>
          </cell>
          <cell r="Z21">
            <v>0</v>
          </cell>
          <cell r="AA21">
            <v>0</v>
          </cell>
        </row>
        <row r="22">
          <cell r="A22">
            <v>21</v>
          </cell>
          <cell r="B22">
            <v>0</v>
          </cell>
          <cell r="C22">
            <v>0</v>
          </cell>
          <cell r="D22">
            <v>0</v>
          </cell>
          <cell r="E22">
            <v>0</v>
          </cell>
          <cell r="F22">
            <v>0</v>
          </cell>
          <cell r="G22">
            <v>0</v>
          </cell>
          <cell r="H22">
            <v>0</v>
          </cell>
          <cell r="I22">
            <v>0</v>
          </cell>
          <cell r="J22">
            <v>0</v>
          </cell>
          <cell r="K22">
            <v>0</v>
          </cell>
          <cell r="L22">
            <v>0</v>
          </cell>
          <cell r="M22">
            <v>1</v>
          </cell>
          <cell r="N22">
            <v>0</v>
          </cell>
          <cell r="O22">
            <v>0</v>
          </cell>
          <cell r="P22">
            <v>0</v>
          </cell>
          <cell r="Q22">
            <v>0</v>
          </cell>
          <cell r="R22">
            <v>0</v>
          </cell>
          <cell r="S22">
            <v>0</v>
          </cell>
          <cell r="T22">
            <v>1</v>
          </cell>
          <cell r="U22">
            <v>0</v>
          </cell>
          <cell r="V22">
            <v>0</v>
          </cell>
          <cell r="W22">
            <v>1</v>
          </cell>
          <cell r="X22">
            <v>1</v>
          </cell>
          <cell r="Y22">
            <v>1</v>
          </cell>
          <cell r="Z22">
            <v>0</v>
          </cell>
          <cell r="AA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1</v>
          </cell>
          <cell r="S23">
            <v>0</v>
          </cell>
          <cell r="T23">
            <v>0</v>
          </cell>
          <cell r="U23">
            <v>0</v>
          </cell>
          <cell r="V23">
            <v>0</v>
          </cell>
          <cell r="W23">
            <v>1</v>
          </cell>
          <cell r="X23">
            <v>1</v>
          </cell>
          <cell r="Y23">
            <v>1</v>
          </cell>
          <cell r="Z23">
            <v>0</v>
          </cell>
          <cell r="AA23">
            <v>0</v>
          </cell>
        </row>
        <row r="24">
          <cell r="A24">
            <v>23</v>
          </cell>
          <cell r="B24">
            <v>0</v>
          </cell>
          <cell r="C24">
            <v>0</v>
          </cell>
          <cell r="D24">
            <v>0</v>
          </cell>
          <cell r="E24">
            <v>0</v>
          </cell>
          <cell r="F24">
            <v>0</v>
          </cell>
          <cell r="G24">
            <v>1</v>
          </cell>
          <cell r="H24">
            <v>0</v>
          </cell>
          <cell r="I24">
            <v>0</v>
          </cell>
          <cell r="J24">
            <v>0</v>
          </cell>
          <cell r="K24">
            <v>0</v>
          </cell>
          <cell r="L24">
            <v>0</v>
          </cell>
          <cell r="M24">
            <v>0</v>
          </cell>
          <cell r="N24">
            <v>0</v>
          </cell>
          <cell r="O24">
            <v>0</v>
          </cell>
          <cell r="P24">
            <v>0</v>
          </cell>
          <cell r="Q24">
            <v>0</v>
          </cell>
          <cell r="R24">
            <v>1</v>
          </cell>
          <cell r="S24">
            <v>1</v>
          </cell>
          <cell r="T24">
            <v>0</v>
          </cell>
          <cell r="U24">
            <v>0</v>
          </cell>
          <cell r="V24">
            <v>0</v>
          </cell>
          <cell r="W24">
            <v>1</v>
          </cell>
          <cell r="X24">
            <v>2</v>
          </cell>
          <cell r="Y24">
            <v>1</v>
          </cell>
          <cell r="Z24">
            <v>0</v>
          </cell>
          <cell r="AA24">
            <v>0</v>
          </cell>
        </row>
        <row r="25">
          <cell r="A25">
            <v>24</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1</v>
          </cell>
          <cell r="S25">
            <v>0</v>
          </cell>
          <cell r="T25">
            <v>1</v>
          </cell>
          <cell r="U25">
            <v>0</v>
          </cell>
          <cell r="V25">
            <v>0</v>
          </cell>
          <cell r="W25">
            <v>1</v>
          </cell>
          <cell r="X25">
            <v>1</v>
          </cell>
          <cell r="Y25">
            <v>1</v>
          </cell>
          <cell r="Z25">
            <v>0</v>
          </cell>
          <cell r="AA25">
            <v>0</v>
          </cell>
        </row>
        <row r="26">
          <cell r="A26">
            <v>25</v>
          </cell>
          <cell r="B26">
            <v>0</v>
          </cell>
          <cell r="C26">
            <v>0</v>
          </cell>
          <cell r="D26">
            <v>0</v>
          </cell>
          <cell r="E26">
            <v>0</v>
          </cell>
          <cell r="F26">
            <v>0</v>
          </cell>
          <cell r="G26">
            <v>0</v>
          </cell>
          <cell r="H26">
            <v>0</v>
          </cell>
          <cell r="I26">
            <v>0</v>
          </cell>
          <cell r="J26">
            <v>0</v>
          </cell>
          <cell r="K26">
            <v>0</v>
          </cell>
          <cell r="L26">
            <v>0</v>
          </cell>
          <cell r="M26">
            <v>1</v>
          </cell>
          <cell r="N26">
            <v>0</v>
          </cell>
          <cell r="O26">
            <v>0</v>
          </cell>
          <cell r="P26">
            <v>0</v>
          </cell>
          <cell r="Q26">
            <v>0</v>
          </cell>
          <cell r="R26">
            <v>0</v>
          </cell>
          <cell r="S26">
            <v>0</v>
          </cell>
          <cell r="T26">
            <v>1</v>
          </cell>
          <cell r="U26">
            <v>0</v>
          </cell>
          <cell r="V26">
            <v>0</v>
          </cell>
          <cell r="W26">
            <v>1</v>
          </cell>
          <cell r="X26">
            <v>0</v>
          </cell>
          <cell r="Y26">
            <v>1</v>
          </cell>
          <cell r="Z26">
            <v>0</v>
          </cell>
          <cell r="AA26">
            <v>0</v>
          </cell>
        </row>
        <row r="27">
          <cell r="A27">
            <v>26</v>
          </cell>
          <cell r="B27">
            <v>0</v>
          </cell>
          <cell r="C27">
            <v>0</v>
          </cell>
          <cell r="D27">
            <v>0</v>
          </cell>
          <cell r="E27">
            <v>0</v>
          </cell>
          <cell r="F27">
            <v>0</v>
          </cell>
          <cell r="G27">
            <v>0</v>
          </cell>
          <cell r="H27">
            <v>0</v>
          </cell>
          <cell r="I27">
            <v>0</v>
          </cell>
          <cell r="J27">
            <v>0</v>
          </cell>
          <cell r="K27">
            <v>0</v>
          </cell>
          <cell r="L27">
            <v>0</v>
          </cell>
          <cell r="M27">
            <v>1</v>
          </cell>
          <cell r="N27">
            <v>0</v>
          </cell>
          <cell r="O27">
            <v>0</v>
          </cell>
          <cell r="P27">
            <v>0</v>
          </cell>
          <cell r="Q27">
            <v>0</v>
          </cell>
          <cell r="R27">
            <v>0</v>
          </cell>
          <cell r="S27">
            <v>0</v>
          </cell>
          <cell r="T27">
            <v>1</v>
          </cell>
          <cell r="U27">
            <v>0</v>
          </cell>
          <cell r="V27">
            <v>0</v>
          </cell>
          <cell r="W27">
            <v>1</v>
          </cell>
          <cell r="X27">
            <v>1</v>
          </cell>
          <cell r="Y27">
            <v>1</v>
          </cell>
          <cell r="Z27">
            <v>0</v>
          </cell>
          <cell r="AA27">
            <v>0</v>
          </cell>
        </row>
        <row r="28">
          <cell r="A28">
            <v>27</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1</v>
          </cell>
          <cell r="U28">
            <v>0</v>
          </cell>
          <cell r="V28">
            <v>0</v>
          </cell>
          <cell r="W28">
            <v>0</v>
          </cell>
          <cell r="X28">
            <v>1</v>
          </cell>
          <cell r="Y28">
            <v>1</v>
          </cell>
          <cell r="Z28">
            <v>0</v>
          </cell>
          <cell r="AA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1</v>
          </cell>
          <cell r="T29">
            <v>1</v>
          </cell>
          <cell r="U29">
            <v>0</v>
          </cell>
          <cell r="V29">
            <v>0</v>
          </cell>
          <cell r="W29">
            <v>0</v>
          </cell>
          <cell r="X29">
            <v>1</v>
          </cell>
          <cell r="Y29">
            <v>0</v>
          </cell>
          <cell r="Z29">
            <v>0</v>
          </cell>
          <cell r="AA29">
            <v>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Unnamed: 0</v>
          </cell>
          <cell r="C1" t="str">
            <v>AH</v>
          </cell>
          <cell r="D1" t="str">
            <v>AMARILLOS</v>
          </cell>
          <cell r="E1" t="str">
            <v>DEMOCRATAS</v>
          </cell>
          <cell r="F1" t="str">
            <v>EVOPOLI</v>
          </cell>
          <cell r="G1" t="str">
            <v>FA</v>
          </cell>
          <cell r="H1" t="str">
            <v>FREVS</v>
          </cell>
          <cell r="I1" t="str">
            <v>IGUALDAD</v>
          </cell>
          <cell r="J1" t="str">
            <v>IND - CANDIDATURAS INDEPENDIENTES</v>
          </cell>
          <cell r="K1" t="str">
            <v>PAVP</v>
          </cell>
          <cell r="L1" t="str">
            <v>PCCH</v>
          </cell>
          <cell r="M1" t="str">
            <v>PDC</v>
          </cell>
          <cell r="N1" t="str">
            <v>PDG</v>
          </cell>
          <cell r="O1" t="str">
            <v>PH</v>
          </cell>
          <cell r="P1" t="str">
            <v>PL</v>
          </cell>
          <cell r="Q1" t="str">
            <v>POPULAR</v>
          </cell>
          <cell r="R1" t="str">
            <v>PPD</v>
          </cell>
          <cell r="S1" t="str">
            <v>PR</v>
          </cell>
          <cell r="T1" t="str">
            <v>PS</v>
          </cell>
          <cell r="U1" t="str">
            <v>PSC</v>
          </cell>
          <cell r="V1" t="str">
            <v>PTR</v>
          </cell>
          <cell r="W1" t="str">
            <v>REPUBLICANO</v>
          </cell>
          <cell r="X1" t="str">
            <v>RN</v>
          </cell>
          <cell r="Y1" t="str">
            <v>UDI</v>
          </cell>
          <cell r="Z1" t="str">
            <v>Votos Blancos</v>
          </cell>
          <cell r="AA1" t="str">
            <v>Votos Nulos</v>
          </cell>
        </row>
        <row r="2">
          <cell r="A2">
            <v>1</v>
          </cell>
          <cell r="B2">
            <v>0</v>
          </cell>
          <cell r="C2">
            <v>0</v>
          </cell>
          <cell r="D2">
            <v>0</v>
          </cell>
          <cell r="E2">
            <v>0</v>
          </cell>
          <cell r="F2">
            <v>0</v>
          </cell>
          <cell r="G2">
            <v>0</v>
          </cell>
          <cell r="H2">
            <v>0</v>
          </cell>
          <cell r="I2">
            <v>0</v>
          </cell>
          <cell r="J2">
            <v>0</v>
          </cell>
          <cell r="K2">
            <v>0</v>
          </cell>
          <cell r="L2">
            <v>1</v>
          </cell>
          <cell r="M2">
            <v>1</v>
          </cell>
          <cell r="N2">
            <v>0</v>
          </cell>
          <cell r="O2">
            <v>0</v>
          </cell>
          <cell r="P2">
            <v>0</v>
          </cell>
          <cell r="Q2">
            <v>0</v>
          </cell>
          <cell r="R2">
            <v>0</v>
          </cell>
          <cell r="S2">
            <v>0</v>
          </cell>
          <cell r="T2">
            <v>0</v>
          </cell>
          <cell r="U2">
            <v>0</v>
          </cell>
          <cell r="V2">
            <v>0</v>
          </cell>
          <cell r="W2">
            <v>1</v>
          </cell>
          <cell r="X2">
            <v>0</v>
          </cell>
          <cell r="Y2">
            <v>0</v>
          </cell>
          <cell r="Z2">
            <v>0</v>
          </cell>
          <cell r="AA2">
            <v>0</v>
          </cell>
        </row>
        <row r="3">
          <cell r="A3">
            <v>2</v>
          </cell>
          <cell r="B3">
            <v>0</v>
          </cell>
          <cell r="C3">
            <v>0</v>
          </cell>
          <cell r="D3">
            <v>0</v>
          </cell>
          <cell r="E3">
            <v>0</v>
          </cell>
          <cell r="F3">
            <v>0</v>
          </cell>
          <cell r="G3">
            <v>1</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1</v>
          </cell>
          <cell r="X3">
            <v>1</v>
          </cell>
          <cell r="Y3">
            <v>0</v>
          </cell>
          <cell r="Z3">
            <v>0</v>
          </cell>
          <cell r="AA3">
            <v>0</v>
          </cell>
        </row>
        <row r="4">
          <cell r="A4">
            <v>3</v>
          </cell>
          <cell r="B4">
            <v>0</v>
          </cell>
          <cell r="C4">
            <v>0</v>
          </cell>
          <cell r="D4">
            <v>0</v>
          </cell>
          <cell r="E4">
            <v>0</v>
          </cell>
          <cell r="F4">
            <v>0</v>
          </cell>
          <cell r="G4">
            <v>0</v>
          </cell>
          <cell r="H4">
            <v>1</v>
          </cell>
          <cell r="I4">
            <v>0</v>
          </cell>
          <cell r="J4">
            <v>0</v>
          </cell>
          <cell r="K4">
            <v>0</v>
          </cell>
          <cell r="L4">
            <v>1</v>
          </cell>
          <cell r="M4">
            <v>0</v>
          </cell>
          <cell r="N4">
            <v>0</v>
          </cell>
          <cell r="O4">
            <v>0</v>
          </cell>
          <cell r="P4">
            <v>0</v>
          </cell>
          <cell r="Q4">
            <v>0</v>
          </cell>
          <cell r="R4">
            <v>0</v>
          </cell>
          <cell r="S4">
            <v>1</v>
          </cell>
          <cell r="T4">
            <v>0</v>
          </cell>
          <cell r="U4">
            <v>0</v>
          </cell>
          <cell r="V4">
            <v>0</v>
          </cell>
          <cell r="W4">
            <v>1</v>
          </cell>
          <cell r="X4">
            <v>1</v>
          </cell>
          <cell r="Y4">
            <v>0</v>
          </cell>
          <cell r="Z4">
            <v>0</v>
          </cell>
          <cell r="AA4">
            <v>0</v>
          </cell>
        </row>
        <row r="5">
          <cell r="A5">
            <v>4</v>
          </cell>
          <cell r="B5">
            <v>0</v>
          </cell>
          <cell r="C5">
            <v>0</v>
          </cell>
          <cell r="D5">
            <v>0</v>
          </cell>
          <cell r="E5">
            <v>0</v>
          </cell>
          <cell r="F5">
            <v>0</v>
          </cell>
          <cell r="G5">
            <v>0</v>
          </cell>
          <cell r="H5">
            <v>1</v>
          </cell>
          <cell r="I5">
            <v>0</v>
          </cell>
          <cell r="J5">
            <v>0</v>
          </cell>
          <cell r="K5">
            <v>0</v>
          </cell>
          <cell r="L5">
            <v>1</v>
          </cell>
          <cell r="M5">
            <v>0</v>
          </cell>
          <cell r="N5">
            <v>0</v>
          </cell>
          <cell r="O5">
            <v>0</v>
          </cell>
          <cell r="P5">
            <v>0</v>
          </cell>
          <cell r="Q5">
            <v>0</v>
          </cell>
          <cell r="R5">
            <v>0</v>
          </cell>
          <cell r="S5">
            <v>0</v>
          </cell>
          <cell r="T5">
            <v>1</v>
          </cell>
          <cell r="U5">
            <v>0</v>
          </cell>
          <cell r="V5">
            <v>0</v>
          </cell>
          <cell r="W5">
            <v>1</v>
          </cell>
          <cell r="X5">
            <v>1</v>
          </cell>
          <cell r="Y5">
            <v>0</v>
          </cell>
          <cell r="Z5">
            <v>0</v>
          </cell>
          <cell r="AA5">
            <v>0</v>
          </cell>
        </row>
        <row r="6">
          <cell r="A6">
            <v>5</v>
          </cell>
          <cell r="B6">
            <v>0</v>
          </cell>
          <cell r="C6">
            <v>0</v>
          </cell>
          <cell r="D6">
            <v>0</v>
          </cell>
          <cell r="E6">
            <v>0</v>
          </cell>
          <cell r="F6">
            <v>0</v>
          </cell>
          <cell r="G6">
            <v>1</v>
          </cell>
          <cell r="H6">
            <v>0</v>
          </cell>
          <cell r="I6">
            <v>0</v>
          </cell>
          <cell r="J6">
            <v>0</v>
          </cell>
          <cell r="K6">
            <v>0</v>
          </cell>
          <cell r="L6">
            <v>1</v>
          </cell>
          <cell r="M6">
            <v>1</v>
          </cell>
          <cell r="N6">
            <v>0</v>
          </cell>
          <cell r="O6">
            <v>0</v>
          </cell>
          <cell r="P6">
            <v>0</v>
          </cell>
          <cell r="Q6">
            <v>0</v>
          </cell>
          <cell r="R6">
            <v>0</v>
          </cell>
          <cell r="S6">
            <v>0</v>
          </cell>
          <cell r="T6">
            <v>1</v>
          </cell>
          <cell r="U6">
            <v>0</v>
          </cell>
          <cell r="V6">
            <v>0</v>
          </cell>
          <cell r="W6">
            <v>1</v>
          </cell>
          <cell r="X6">
            <v>1</v>
          </cell>
          <cell r="Y6">
            <v>1</v>
          </cell>
          <cell r="Z6">
            <v>0</v>
          </cell>
          <cell r="AA6">
            <v>0</v>
          </cell>
        </row>
        <row r="7">
          <cell r="A7">
            <v>6</v>
          </cell>
          <cell r="B7">
            <v>0</v>
          </cell>
          <cell r="C7">
            <v>0</v>
          </cell>
          <cell r="D7">
            <v>0</v>
          </cell>
          <cell r="E7">
            <v>0</v>
          </cell>
          <cell r="F7">
            <v>0</v>
          </cell>
          <cell r="G7">
            <v>1</v>
          </cell>
          <cell r="H7">
            <v>0</v>
          </cell>
          <cell r="I7">
            <v>0</v>
          </cell>
          <cell r="J7">
            <v>0</v>
          </cell>
          <cell r="K7">
            <v>0</v>
          </cell>
          <cell r="L7">
            <v>1</v>
          </cell>
          <cell r="M7">
            <v>1</v>
          </cell>
          <cell r="N7">
            <v>0</v>
          </cell>
          <cell r="O7">
            <v>0</v>
          </cell>
          <cell r="P7">
            <v>0</v>
          </cell>
          <cell r="Q7">
            <v>0</v>
          </cell>
          <cell r="R7">
            <v>0</v>
          </cell>
          <cell r="S7">
            <v>0</v>
          </cell>
          <cell r="T7">
            <v>1</v>
          </cell>
          <cell r="U7">
            <v>0</v>
          </cell>
          <cell r="V7">
            <v>0</v>
          </cell>
          <cell r="W7">
            <v>2</v>
          </cell>
          <cell r="X7">
            <v>2</v>
          </cell>
          <cell r="Y7">
            <v>0</v>
          </cell>
          <cell r="Z7">
            <v>0</v>
          </cell>
          <cell r="AA7">
            <v>0</v>
          </cell>
        </row>
        <row r="8">
          <cell r="A8">
            <v>7</v>
          </cell>
          <cell r="B8">
            <v>0</v>
          </cell>
          <cell r="C8">
            <v>0</v>
          </cell>
          <cell r="D8">
            <v>0</v>
          </cell>
          <cell r="E8">
            <v>0</v>
          </cell>
          <cell r="F8">
            <v>0</v>
          </cell>
          <cell r="G8">
            <v>2</v>
          </cell>
          <cell r="H8">
            <v>0</v>
          </cell>
          <cell r="I8">
            <v>0</v>
          </cell>
          <cell r="J8">
            <v>0</v>
          </cell>
          <cell r="K8">
            <v>0</v>
          </cell>
          <cell r="L8">
            <v>1</v>
          </cell>
          <cell r="M8">
            <v>1</v>
          </cell>
          <cell r="N8">
            <v>0</v>
          </cell>
          <cell r="O8">
            <v>0</v>
          </cell>
          <cell r="P8">
            <v>0</v>
          </cell>
          <cell r="Q8">
            <v>0</v>
          </cell>
          <cell r="R8">
            <v>0</v>
          </cell>
          <cell r="S8">
            <v>0</v>
          </cell>
          <cell r="T8">
            <v>0</v>
          </cell>
          <cell r="U8">
            <v>0</v>
          </cell>
          <cell r="V8">
            <v>0</v>
          </cell>
          <cell r="W8">
            <v>2</v>
          </cell>
          <cell r="X8">
            <v>1</v>
          </cell>
          <cell r="Y8">
            <v>1</v>
          </cell>
          <cell r="Z8">
            <v>0</v>
          </cell>
          <cell r="AA8">
            <v>0</v>
          </cell>
        </row>
        <row r="9">
          <cell r="A9">
            <v>8</v>
          </cell>
          <cell r="B9">
            <v>0</v>
          </cell>
          <cell r="C9">
            <v>0</v>
          </cell>
          <cell r="D9">
            <v>0</v>
          </cell>
          <cell r="E9">
            <v>0</v>
          </cell>
          <cell r="F9">
            <v>0</v>
          </cell>
          <cell r="G9">
            <v>2</v>
          </cell>
          <cell r="H9">
            <v>0</v>
          </cell>
          <cell r="I9">
            <v>0</v>
          </cell>
          <cell r="J9">
            <v>0</v>
          </cell>
          <cell r="K9">
            <v>0</v>
          </cell>
          <cell r="L9">
            <v>1</v>
          </cell>
          <cell r="M9">
            <v>1</v>
          </cell>
          <cell r="N9">
            <v>0</v>
          </cell>
          <cell r="O9">
            <v>0</v>
          </cell>
          <cell r="P9">
            <v>0</v>
          </cell>
          <cell r="Q9">
            <v>0</v>
          </cell>
          <cell r="R9">
            <v>0</v>
          </cell>
          <cell r="S9">
            <v>0</v>
          </cell>
          <cell r="T9">
            <v>0</v>
          </cell>
          <cell r="U9">
            <v>0</v>
          </cell>
          <cell r="V9">
            <v>0</v>
          </cell>
          <cell r="W9">
            <v>2</v>
          </cell>
          <cell r="X9">
            <v>1</v>
          </cell>
          <cell r="Y9">
            <v>1</v>
          </cell>
          <cell r="Z9">
            <v>0</v>
          </cell>
          <cell r="AA9">
            <v>0</v>
          </cell>
        </row>
        <row r="10">
          <cell r="A10">
            <v>9</v>
          </cell>
          <cell r="B10">
            <v>0</v>
          </cell>
          <cell r="C10">
            <v>0</v>
          </cell>
          <cell r="D10">
            <v>0</v>
          </cell>
          <cell r="E10">
            <v>0</v>
          </cell>
          <cell r="F10">
            <v>0</v>
          </cell>
          <cell r="G10">
            <v>1</v>
          </cell>
          <cell r="H10">
            <v>0</v>
          </cell>
          <cell r="I10">
            <v>0</v>
          </cell>
          <cell r="J10">
            <v>0</v>
          </cell>
          <cell r="K10">
            <v>0</v>
          </cell>
          <cell r="L10">
            <v>1</v>
          </cell>
          <cell r="M10">
            <v>1</v>
          </cell>
          <cell r="N10">
            <v>0</v>
          </cell>
          <cell r="O10">
            <v>0</v>
          </cell>
          <cell r="P10">
            <v>0</v>
          </cell>
          <cell r="Q10">
            <v>0</v>
          </cell>
          <cell r="R10">
            <v>0</v>
          </cell>
          <cell r="S10">
            <v>0</v>
          </cell>
          <cell r="T10">
            <v>1</v>
          </cell>
          <cell r="U10">
            <v>0</v>
          </cell>
          <cell r="V10">
            <v>0</v>
          </cell>
          <cell r="W10">
            <v>1</v>
          </cell>
          <cell r="X10">
            <v>1</v>
          </cell>
          <cell r="Y10">
            <v>1</v>
          </cell>
          <cell r="Z10">
            <v>0</v>
          </cell>
          <cell r="AA10">
            <v>0</v>
          </cell>
        </row>
        <row r="11">
          <cell r="A11">
            <v>10</v>
          </cell>
          <cell r="B11">
            <v>0</v>
          </cell>
          <cell r="C11">
            <v>0</v>
          </cell>
          <cell r="D11">
            <v>0</v>
          </cell>
          <cell r="E11">
            <v>0</v>
          </cell>
          <cell r="F11">
            <v>0</v>
          </cell>
          <cell r="G11">
            <v>3</v>
          </cell>
          <cell r="H11">
            <v>0</v>
          </cell>
          <cell r="I11">
            <v>0</v>
          </cell>
          <cell r="J11">
            <v>0</v>
          </cell>
          <cell r="K11">
            <v>0</v>
          </cell>
          <cell r="L11">
            <v>1</v>
          </cell>
          <cell r="M11">
            <v>1</v>
          </cell>
          <cell r="N11">
            <v>0</v>
          </cell>
          <cell r="O11">
            <v>0</v>
          </cell>
          <cell r="P11">
            <v>0</v>
          </cell>
          <cell r="Q11">
            <v>0</v>
          </cell>
          <cell r="R11">
            <v>0</v>
          </cell>
          <cell r="S11">
            <v>0</v>
          </cell>
          <cell r="T11">
            <v>0</v>
          </cell>
          <cell r="U11">
            <v>0</v>
          </cell>
          <cell r="V11">
            <v>0</v>
          </cell>
          <cell r="W11">
            <v>1</v>
          </cell>
          <cell r="X11">
            <v>1</v>
          </cell>
          <cell r="Y11">
            <v>1</v>
          </cell>
          <cell r="Z11">
            <v>0</v>
          </cell>
          <cell r="AA11">
            <v>0</v>
          </cell>
        </row>
        <row r="12">
          <cell r="A12">
            <v>11</v>
          </cell>
          <cell r="B12">
            <v>0</v>
          </cell>
          <cell r="C12">
            <v>0</v>
          </cell>
          <cell r="D12">
            <v>0</v>
          </cell>
          <cell r="E12">
            <v>0</v>
          </cell>
          <cell r="F12">
            <v>1</v>
          </cell>
          <cell r="G12">
            <v>1</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2</v>
          </cell>
          <cell r="X12">
            <v>1</v>
          </cell>
          <cell r="Y12">
            <v>1</v>
          </cell>
          <cell r="Z12">
            <v>0</v>
          </cell>
          <cell r="AA12">
            <v>0</v>
          </cell>
        </row>
        <row r="13">
          <cell r="A13">
            <v>12</v>
          </cell>
          <cell r="B13">
            <v>0</v>
          </cell>
          <cell r="C13">
            <v>0</v>
          </cell>
          <cell r="D13">
            <v>0</v>
          </cell>
          <cell r="E13">
            <v>0</v>
          </cell>
          <cell r="F13">
            <v>0</v>
          </cell>
          <cell r="G13">
            <v>1</v>
          </cell>
          <cell r="H13">
            <v>0</v>
          </cell>
          <cell r="I13">
            <v>0</v>
          </cell>
          <cell r="J13">
            <v>0</v>
          </cell>
          <cell r="K13">
            <v>0</v>
          </cell>
          <cell r="L13">
            <v>2</v>
          </cell>
          <cell r="M13">
            <v>1</v>
          </cell>
          <cell r="N13">
            <v>0</v>
          </cell>
          <cell r="O13">
            <v>0</v>
          </cell>
          <cell r="P13">
            <v>0</v>
          </cell>
          <cell r="Q13">
            <v>0</v>
          </cell>
          <cell r="R13">
            <v>0</v>
          </cell>
          <cell r="S13">
            <v>0</v>
          </cell>
          <cell r="T13">
            <v>0</v>
          </cell>
          <cell r="U13">
            <v>0</v>
          </cell>
          <cell r="V13">
            <v>0</v>
          </cell>
          <cell r="W13">
            <v>1</v>
          </cell>
          <cell r="X13">
            <v>2</v>
          </cell>
          <cell r="Y13">
            <v>0</v>
          </cell>
          <cell r="Z13">
            <v>0</v>
          </cell>
          <cell r="AA13">
            <v>0</v>
          </cell>
        </row>
        <row r="14">
          <cell r="A14">
            <v>13</v>
          </cell>
          <cell r="B14">
            <v>0</v>
          </cell>
          <cell r="C14">
            <v>0</v>
          </cell>
          <cell r="D14">
            <v>0</v>
          </cell>
          <cell r="E14">
            <v>0</v>
          </cell>
          <cell r="F14">
            <v>0</v>
          </cell>
          <cell r="G14">
            <v>1</v>
          </cell>
          <cell r="H14">
            <v>0</v>
          </cell>
          <cell r="I14">
            <v>0</v>
          </cell>
          <cell r="J14">
            <v>0</v>
          </cell>
          <cell r="K14">
            <v>0</v>
          </cell>
          <cell r="L14">
            <v>1</v>
          </cell>
          <cell r="M14">
            <v>0</v>
          </cell>
          <cell r="N14">
            <v>0</v>
          </cell>
          <cell r="O14">
            <v>0</v>
          </cell>
          <cell r="P14">
            <v>0</v>
          </cell>
          <cell r="Q14">
            <v>0</v>
          </cell>
          <cell r="R14">
            <v>0</v>
          </cell>
          <cell r="S14">
            <v>0</v>
          </cell>
          <cell r="T14">
            <v>1</v>
          </cell>
          <cell r="U14">
            <v>0</v>
          </cell>
          <cell r="V14">
            <v>0</v>
          </cell>
          <cell r="W14">
            <v>1</v>
          </cell>
          <cell r="X14">
            <v>1</v>
          </cell>
          <cell r="Y14">
            <v>0</v>
          </cell>
          <cell r="Z14">
            <v>0</v>
          </cell>
          <cell r="AA14">
            <v>0</v>
          </cell>
        </row>
        <row r="15">
          <cell r="A15">
            <v>14</v>
          </cell>
          <cell r="B15">
            <v>0</v>
          </cell>
          <cell r="C15">
            <v>0</v>
          </cell>
          <cell r="D15">
            <v>0</v>
          </cell>
          <cell r="E15">
            <v>0</v>
          </cell>
          <cell r="F15">
            <v>0</v>
          </cell>
          <cell r="G15">
            <v>1</v>
          </cell>
          <cell r="H15">
            <v>0</v>
          </cell>
          <cell r="I15">
            <v>0</v>
          </cell>
          <cell r="J15">
            <v>0</v>
          </cell>
          <cell r="K15">
            <v>0</v>
          </cell>
          <cell r="L15">
            <v>0</v>
          </cell>
          <cell r="M15">
            <v>1</v>
          </cell>
          <cell r="N15">
            <v>0</v>
          </cell>
          <cell r="O15">
            <v>0</v>
          </cell>
          <cell r="P15">
            <v>0</v>
          </cell>
          <cell r="Q15">
            <v>0</v>
          </cell>
          <cell r="R15">
            <v>0</v>
          </cell>
          <cell r="S15">
            <v>0</v>
          </cell>
          <cell r="T15">
            <v>1</v>
          </cell>
          <cell r="U15">
            <v>0</v>
          </cell>
          <cell r="V15">
            <v>0</v>
          </cell>
          <cell r="W15">
            <v>1</v>
          </cell>
          <cell r="X15">
            <v>1</v>
          </cell>
          <cell r="Y15">
            <v>1</v>
          </cell>
          <cell r="Z15">
            <v>0</v>
          </cell>
          <cell r="AA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1</v>
          </cell>
          <cell r="S16">
            <v>1</v>
          </cell>
          <cell r="T16">
            <v>1</v>
          </cell>
          <cell r="U16">
            <v>0</v>
          </cell>
          <cell r="V16">
            <v>0</v>
          </cell>
          <cell r="W16">
            <v>1</v>
          </cell>
          <cell r="X16">
            <v>1</v>
          </cell>
          <cell r="Y16">
            <v>0</v>
          </cell>
          <cell r="Z16">
            <v>0</v>
          </cell>
          <cell r="AA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1</v>
          </cell>
          <cell r="T17">
            <v>1</v>
          </cell>
          <cell r="U17">
            <v>0</v>
          </cell>
          <cell r="V17">
            <v>0</v>
          </cell>
          <cell r="W17">
            <v>0</v>
          </cell>
          <cell r="X17">
            <v>1</v>
          </cell>
          <cell r="Y17">
            <v>1</v>
          </cell>
          <cell r="Z17">
            <v>0</v>
          </cell>
          <cell r="AA17">
            <v>0</v>
          </cell>
        </row>
        <row r="18">
          <cell r="A18">
            <v>17</v>
          </cell>
          <cell r="B18">
            <v>0</v>
          </cell>
          <cell r="C18">
            <v>0</v>
          </cell>
          <cell r="D18">
            <v>0</v>
          </cell>
          <cell r="E18">
            <v>0</v>
          </cell>
          <cell r="F18">
            <v>0</v>
          </cell>
          <cell r="G18">
            <v>0</v>
          </cell>
          <cell r="H18">
            <v>0</v>
          </cell>
          <cell r="I18">
            <v>0</v>
          </cell>
          <cell r="J18">
            <v>0</v>
          </cell>
          <cell r="K18">
            <v>0</v>
          </cell>
          <cell r="L18">
            <v>0</v>
          </cell>
          <cell r="M18">
            <v>1</v>
          </cell>
          <cell r="N18">
            <v>0</v>
          </cell>
          <cell r="O18">
            <v>0</v>
          </cell>
          <cell r="P18">
            <v>0</v>
          </cell>
          <cell r="Q18">
            <v>0</v>
          </cell>
          <cell r="R18">
            <v>0</v>
          </cell>
          <cell r="S18">
            <v>1</v>
          </cell>
          <cell r="T18">
            <v>1</v>
          </cell>
          <cell r="U18">
            <v>0</v>
          </cell>
          <cell r="V18">
            <v>0</v>
          </cell>
          <cell r="W18">
            <v>1</v>
          </cell>
          <cell r="X18">
            <v>2</v>
          </cell>
          <cell r="Y18">
            <v>1</v>
          </cell>
          <cell r="Z18">
            <v>0</v>
          </cell>
          <cell r="AA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1</v>
          </cell>
          <cell r="S19">
            <v>0</v>
          </cell>
          <cell r="T19">
            <v>0</v>
          </cell>
          <cell r="U19">
            <v>0</v>
          </cell>
          <cell r="V19">
            <v>0</v>
          </cell>
          <cell r="W19">
            <v>1</v>
          </cell>
          <cell r="X19">
            <v>1</v>
          </cell>
          <cell r="Y19">
            <v>1</v>
          </cell>
          <cell r="Z19">
            <v>0</v>
          </cell>
          <cell r="AA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1</v>
          </cell>
          <cell r="T20">
            <v>1</v>
          </cell>
          <cell r="U20">
            <v>0</v>
          </cell>
          <cell r="V20">
            <v>0</v>
          </cell>
          <cell r="W20">
            <v>1</v>
          </cell>
          <cell r="X20">
            <v>1</v>
          </cell>
          <cell r="Y20">
            <v>1</v>
          </cell>
          <cell r="Z20">
            <v>0</v>
          </cell>
          <cell r="AA20">
            <v>0</v>
          </cell>
        </row>
        <row r="21">
          <cell r="A21">
            <v>20</v>
          </cell>
          <cell r="B21">
            <v>0</v>
          </cell>
          <cell r="C21">
            <v>0</v>
          </cell>
          <cell r="D21">
            <v>0</v>
          </cell>
          <cell r="E21">
            <v>0</v>
          </cell>
          <cell r="F21">
            <v>0</v>
          </cell>
          <cell r="G21">
            <v>1</v>
          </cell>
          <cell r="H21">
            <v>1</v>
          </cell>
          <cell r="I21">
            <v>0</v>
          </cell>
          <cell r="J21">
            <v>0</v>
          </cell>
          <cell r="K21">
            <v>0</v>
          </cell>
          <cell r="L21">
            <v>1</v>
          </cell>
          <cell r="M21">
            <v>1</v>
          </cell>
          <cell r="N21">
            <v>0</v>
          </cell>
          <cell r="O21">
            <v>0</v>
          </cell>
          <cell r="P21">
            <v>0</v>
          </cell>
          <cell r="Q21">
            <v>0</v>
          </cell>
          <cell r="R21">
            <v>0</v>
          </cell>
          <cell r="S21">
            <v>0</v>
          </cell>
          <cell r="T21">
            <v>0</v>
          </cell>
          <cell r="U21">
            <v>1</v>
          </cell>
          <cell r="V21">
            <v>0</v>
          </cell>
          <cell r="W21">
            <v>1</v>
          </cell>
          <cell r="X21">
            <v>1</v>
          </cell>
          <cell r="Y21">
            <v>1</v>
          </cell>
          <cell r="Z21">
            <v>0</v>
          </cell>
          <cell r="AA21">
            <v>0</v>
          </cell>
        </row>
        <row r="22">
          <cell r="A22">
            <v>21</v>
          </cell>
          <cell r="B22">
            <v>0</v>
          </cell>
          <cell r="C22">
            <v>0</v>
          </cell>
          <cell r="D22">
            <v>0</v>
          </cell>
          <cell r="E22">
            <v>0</v>
          </cell>
          <cell r="F22">
            <v>0</v>
          </cell>
          <cell r="G22">
            <v>0</v>
          </cell>
          <cell r="H22">
            <v>0</v>
          </cell>
          <cell r="I22">
            <v>0</v>
          </cell>
          <cell r="J22">
            <v>0</v>
          </cell>
          <cell r="K22">
            <v>0</v>
          </cell>
          <cell r="L22">
            <v>0</v>
          </cell>
          <cell r="M22">
            <v>1</v>
          </cell>
          <cell r="N22">
            <v>0</v>
          </cell>
          <cell r="O22">
            <v>0</v>
          </cell>
          <cell r="P22">
            <v>0</v>
          </cell>
          <cell r="Q22">
            <v>0</v>
          </cell>
          <cell r="R22">
            <v>0</v>
          </cell>
          <cell r="S22">
            <v>0</v>
          </cell>
          <cell r="T22">
            <v>1</v>
          </cell>
          <cell r="U22">
            <v>0</v>
          </cell>
          <cell r="V22">
            <v>0</v>
          </cell>
          <cell r="W22">
            <v>1</v>
          </cell>
          <cell r="X22">
            <v>1</v>
          </cell>
          <cell r="Y22">
            <v>1</v>
          </cell>
          <cell r="Z22">
            <v>0</v>
          </cell>
          <cell r="AA22">
            <v>0</v>
          </cell>
        </row>
        <row r="23">
          <cell r="A23">
            <v>22</v>
          </cell>
          <cell r="B23">
            <v>0</v>
          </cell>
          <cell r="C23">
            <v>0</v>
          </cell>
          <cell r="D23">
            <v>0</v>
          </cell>
          <cell r="E23">
            <v>0</v>
          </cell>
          <cell r="F23">
            <v>0</v>
          </cell>
          <cell r="G23">
            <v>0</v>
          </cell>
          <cell r="H23">
            <v>0</v>
          </cell>
          <cell r="I23">
            <v>0</v>
          </cell>
          <cell r="J23">
            <v>0</v>
          </cell>
          <cell r="K23">
            <v>0</v>
          </cell>
          <cell r="L23">
            <v>0</v>
          </cell>
          <cell r="M23">
            <v>1</v>
          </cell>
          <cell r="N23">
            <v>0</v>
          </cell>
          <cell r="O23">
            <v>0</v>
          </cell>
          <cell r="P23">
            <v>0</v>
          </cell>
          <cell r="Q23">
            <v>0</v>
          </cell>
          <cell r="R23">
            <v>1</v>
          </cell>
          <cell r="S23">
            <v>0</v>
          </cell>
          <cell r="T23">
            <v>0</v>
          </cell>
          <cell r="U23">
            <v>0</v>
          </cell>
          <cell r="V23">
            <v>0</v>
          </cell>
          <cell r="W23">
            <v>1</v>
          </cell>
          <cell r="X23">
            <v>1</v>
          </cell>
          <cell r="Y23">
            <v>0</v>
          </cell>
          <cell r="Z23">
            <v>0</v>
          </cell>
          <cell r="AA23">
            <v>0</v>
          </cell>
        </row>
        <row r="24">
          <cell r="A24">
            <v>23</v>
          </cell>
          <cell r="B24">
            <v>0</v>
          </cell>
          <cell r="C24">
            <v>0</v>
          </cell>
          <cell r="D24">
            <v>0</v>
          </cell>
          <cell r="E24">
            <v>0</v>
          </cell>
          <cell r="F24">
            <v>0</v>
          </cell>
          <cell r="G24">
            <v>1</v>
          </cell>
          <cell r="H24">
            <v>0</v>
          </cell>
          <cell r="I24">
            <v>0</v>
          </cell>
          <cell r="J24">
            <v>0</v>
          </cell>
          <cell r="K24">
            <v>0</v>
          </cell>
          <cell r="L24">
            <v>0</v>
          </cell>
          <cell r="M24">
            <v>0</v>
          </cell>
          <cell r="N24">
            <v>0</v>
          </cell>
          <cell r="O24">
            <v>0</v>
          </cell>
          <cell r="P24">
            <v>0</v>
          </cell>
          <cell r="Q24">
            <v>0</v>
          </cell>
          <cell r="R24">
            <v>1</v>
          </cell>
          <cell r="S24">
            <v>1</v>
          </cell>
          <cell r="T24">
            <v>0</v>
          </cell>
          <cell r="U24">
            <v>0</v>
          </cell>
          <cell r="V24">
            <v>0</v>
          </cell>
          <cell r="W24">
            <v>1</v>
          </cell>
          <cell r="X24">
            <v>2</v>
          </cell>
          <cell r="Y24">
            <v>1</v>
          </cell>
          <cell r="Z24">
            <v>0</v>
          </cell>
          <cell r="AA24">
            <v>0</v>
          </cell>
        </row>
        <row r="25">
          <cell r="A25">
            <v>24</v>
          </cell>
          <cell r="B25">
            <v>0</v>
          </cell>
          <cell r="C25">
            <v>0</v>
          </cell>
          <cell r="D25">
            <v>0</v>
          </cell>
          <cell r="E25">
            <v>0</v>
          </cell>
          <cell r="F25">
            <v>0</v>
          </cell>
          <cell r="G25">
            <v>1</v>
          </cell>
          <cell r="H25">
            <v>0</v>
          </cell>
          <cell r="I25">
            <v>0</v>
          </cell>
          <cell r="J25">
            <v>0</v>
          </cell>
          <cell r="K25">
            <v>0</v>
          </cell>
          <cell r="L25">
            <v>0</v>
          </cell>
          <cell r="M25">
            <v>0</v>
          </cell>
          <cell r="N25">
            <v>0</v>
          </cell>
          <cell r="O25">
            <v>0</v>
          </cell>
          <cell r="P25">
            <v>0</v>
          </cell>
          <cell r="Q25">
            <v>0</v>
          </cell>
          <cell r="R25">
            <v>1</v>
          </cell>
          <cell r="S25">
            <v>0</v>
          </cell>
          <cell r="T25">
            <v>1</v>
          </cell>
          <cell r="U25">
            <v>0</v>
          </cell>
          <cell r="V25">
            <v>0</v>
          </cell>
          <cell r="W25">
            <v>1</v>
          </cell>
          <cell r="X25">
            <v>1</v>
          </cell>
          <cell r="Y25">
            <v>0</v>
          </cell>
          <cell r="Z25">
            <v>0</v>
          </cell>
          <cell r="AA25">
            <v>0</v>
          </cell>
        </row>
        <row r="26">
          <cell r="A26">
            <v>25</v>
          </cell>
          <cell r="B26">
            <v>0</v>
          </cell>
          <cell r="C26">
            <v>0</v>
          </cell>
          <cell r="D26">
            <v>0</v>
          </cell>
          <cell r="E26">
            <v>0</v>
          </cell>
          <cell r="F26">
            <v>0</v>
          </cell>
          <cell r="G26">
            <v>0</v>
          </cell>
          <cell r="H26">
            <v>0</v>
          </cell>
          <cell r="I26">
            <v>0</v>
          </cell>
          <cell r="J26">
            <v>0</v>
          </cell>
          <cell r="K26">
            <v>0</v>
          </cell>
          <cell r="L26">
            <v>0</v>
          </cell>
          <cell r="M26">
            <v>1</v>
          </cell>
          <cell r="N26">
            <v>0</v>
          </cell>
          <cell r="O26">
            <v>0</v>
          </cell>
          <cell r="P26">
            <v>0</v>
          </cell>
          <cell r="Q26">
            <v>0</v>
          </cell>
          <cell r="R26">
            <v>0</v>
          </cell>
          <cell r="S26">
            <v>0</v>
          </cell>
          <cell r="T26">
            <v>1</v>
          </cell>
          <cell r="U26">
            <v>0</v>
          </cell>
          <cell r="V26">
            <v>0</v>
          </cell>
          <cell r="W26">
            <v>1</v>
          </cell>
          <cell r="X26">
            <v>0</v>
          </cell>
          <cell r="Y26">
            <v>1</v>
          </cell>
          <cell r="Z26">
            <v>0</v>
          </cell>
          <cell r="AA26">
            <v>0</v>
          </cell>
        </row>
        <row r="27">
          <cell r="A27">
            <v>26</v>
          </cell>
          <cell r="B27">
            <v>0</v>
          </cell>
          <cell r="C27">
            <v>0</v>
          </cell>
          <cell r="D27">
            <v>0</v>
          </cell>
          <cell r="E27">
            <v>0</v>
          </cell>
          <cell r="F27">
            <v>0</v>
          </cell>
          <cell r="G27">
            <v>0</v>
          </cell>
          <cell r="H27">
            <v>0</v>
          </cell>
          <cell r="I27">
            <v>0</v>
          </cell>
          <cell r="J27">
            <v>0</v>
          </cell>
          <cell r="K27">
            <v>0</v>
          </cell>
          <cell r="L27">
            <v>0</v>
          </cell>
          <cell r="M27">
            <v>1</v>
          </cell>
          <cell r="N27">
            <v>0</v>
          </cell>
          <cell r="O27">
            <v>0</v>
          </cell>
          <cell r="P27">
            <v>0</v>
          </cell>
          <cell r="Q27">
            <v>0</v>
          </cell>
          <cell r="R27">
            <v>0</v>
          </cell>
          <cell r="S27">
            <v>0</v>
          </cell>
          <cell r="T27">
            <v>1</v>
          </cell>
          <cell r="U27">
            <v>0</v>
          </cell>
          <cell r="V27">
            <v>0</v>
          </cell>
          <cell r="W27">
            <v>1</v>
          </cell>
          <cell r="X27">
            <v>1</v>
          </cell>
          <cell r="Y27">
            <v>1</v>
          </cell>
          <cell r="Z27">
            <v>0</v>
          </cell>
          <cell r="AA27">
            <v>0</v>
          </cell>
        </row>
        <row r="28">
          <cell r="A28">
            <v>27</v>
          </cell>
          <cell r="B28">
            <v>0</v>
          </cell>
          <cell r="C28">
            <v>0</v>
          </cell>
          <cell r="D28">
            <v>0</v>
          </cell>
          <cell r="E28">
            <v>0</v>
          </cell>
          <cell r="F28">
            <v>0</v>
          </cell>
          <cell r="G28">
            <v>0</v>
          </cell>
          <cell r="H28">
            <v>0</v>
          </cell>
          <cell r="I28">
            <v>0</v>
          </cell>
          <cell r="J28">
            <v>0</v>
          </cell>
          <cell r="K28">
            <v>0</v>
          </cell>
          <cell r="L28">
            <v>0</v>
          </cell>
          <cell r="M28">
            <v>1</v>
          </cell>
          <cell r="N28">
            <v>0</v>
          </cell>
          <cell r="O28">
            <v>0</v>
          </cell>
          <cell r="P28">
            <v>0</v>
          </cell>
          <cell r="Q28">
            <v>0</v>
          </cell>
          <cell r="R28">
            <v>0</v>
          </cell>
          <cell r="S28">
            <v>0</v>
          </cell>
          <cell r="T28">
            <v>1</v>
          </cell>
          <cell r="U28">
            <v>0</v>
          </cell>
          <cell r="V28">
            <v>0</v>
          </cell>
          <cell r="W28">
            <v>0</v>
          </cell>
          <cell r="X28">
            <v>1</v>
          </cell>
          <cell r="Y28">
            <v>0</v>
          </cell>
          <cell r="Z28">
            <v>0</v>
          </cell>
          <cell r="AA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1</v>
          </cell>
          <cell r="T29">
            <v>1</v>
          </cell>
          <cell r="U29">
            <v>0</v>
          </cell>
          <cell r="V29">
            <v>0</v>
          </cell>
          <cell r="W29">
            <v>0</v>
          </cell>
          <cell r="X29">
            <v>1</v>
          </cell>
          <cell r="Y29">
            <v>0</v>
          </cell>
          <cell r="Z29">
            <v>0</v>
          </cell>
          <cell r="AA29">
            <v>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proyectados_proporci"/>
    </sheetNames>
    <sheetDataSet>
      <sheetData sheetId="0">
        <row r="1">
          <cell r="A1" t="str">
            <v>Distrito</v>
          </cell>
          <cell r="B1" t="str">
            <v>AH</v>
          </cell>
          <cell r="C1" t="str">
            <v>AMARILLOS</v>
          </cell>
          <cell r="D1" t="str">
            <v>DEMOCRATAS</v>
          </cell>
          <cell r="E1" t="str">
            <v>EVOPOLI</v>
          </cell>
          <cell r="F1" t="str">
            <v>FA</v>
          </cell>
          <cell r="G1" t="str">
            <v>FREVS</v>
          </cell>
          <cell r="H1" t="str">
            <v>IGUALDAD</v>
          </cell>
          <cell r="I1" t="str">
            <v>IND - CANDIDATURAS INDEPENDIENTES</v>
          </cell>
          <cell r="J1" t="str">
            <v>PAVP</v>
          </cell>
          <cell r="K1" t="str">
            <v>PCCH</v>
          </cell>
          <cell r="L1" t="str">
            <v>PDC</v>
          </cell>
          <cell r="M1" t="str">
            <v>PDG</v>
          </cell>
          <cell r="N1" t="str">
            <v>PH</v>
          </cell>
          <cell r="O1" t="str">
            <v>PL</v>
          </cell>
          <cell r="P1" t="str">
            <v>POPULAR</v>
          </cell>
          <cell r="Q1" t="str">
            <v>PPD</v>
          </cell>
          <cell r="R1" t="str">
            <v>PR</v>
          </cell>
          <cell r="S1" t="str">
            <v>PS</v>
          </cell>
          <cell r="T1" t="str">
            <v>PSC</v>
          </cell>
          <cell r="U1" t="str">
            <v>PTR</v>
          </cell>
          <cell r="V1" t="str">
            <v>REPUBLICANO</v>
          </cell>
          <cell r="W1" t="str">
            <v>RN</v>
          </cell>
          <cell r="X1" t="str">
            <v>UDI</v>
          </cell>
          <cell r="Y1" t="str">
            <v>Votos Blancos</v>
          </cell>
          <cell r="Z1" t="str">
            <v>Votos Nulos</v>
          </cell>
        </row>
        <row r="2">
          <cell r="A2">
            <v>1</v>
          </cell>
          <cell r="B2">
            <v>2.15269302091529E-2</v>
          </cell>
          <cell r="C2">
            <v>0</v>
          </cell>
          <cell r="D2">
            <v>5.1187275674262997E-2</v>
          </cell>
          <cell r="E2">
            <v>2.6411705667952002E-3</v>
          </cell>
          <cell r="F2">
            <v>2.4350202536079699E-2</v>
          </cell>
          <cell r="G2">
            <v>3.0117685000097299E-2</v>
          </cell>
          <cell r="H2">
            <v>5.0135904443375599E-3</v>
          </cell>
          <cell r="I2">
            <v>0</v>
          </cell>
          <cell r="J2">
            <v>0</v>
          </cell>
          <cell r="K2">
            <v>4.7235250452474203E-2</v>
          </cell>
          <cell r="L2">
            <v>4.0332064644734697E-2</v>
          </cell>
          <cell r="M2">
            <v>4.9673467912557799E-2</v>
          </cell>
          <cell r="N2">
            <v>3.9314055568375202E-2</v>
          </cell>
          <cell r="O2">
            <v>3.4308805662669702E-2</v>
          </cell>
          <cell r="P2">
            <v>1.0080467663268301E-2</v>
          </cell>
          <cell r="Q2">
            <v>1.5631559486111599E-2</v>
          </cell>
          <cell r="R2">
            <v>2.96422742980741E-2</v>
          </cell>
          <cell r="S2">
            <v>4.2853687491138097E-2</v>
          </cell>
          <cell r="T2">
            <v>2.3064369496982099E-2</v>
          </cell>
          <cell r="U2">
            <v>0</v>
          </cell>
          <cell r="V2">
            <v>0.148935608261581</v>
          </cell>
          <cell r="W2">
            <v>7.8654059479161098E-2</v>
          </cell>
          <cell r="X2">
            <v>5.1718289967166001E-2</v>
          </cell>
          <cell r="Y2">
            <v>9.9530427675019198E-2</v>
          </cell>
          <cell r="Z2">
            <v>0.15418875750996</v>
          </cell>
        </row>
        <row r="3">
          <cell r="A3">
            <v>2</v>
          </cell>
          <cell r="B3">
            <v>2.85086799141577E-2</v>
          </cell>
          <cell r="C3">
            <v>0</v>
          </cell>
          <cell r="D3">
            <v>3.9059869558231597E-2</v>
          </cell>
          <cell r="E3">
            <v>7.5291078769594098E-3</v>
          </cell>
          <cell r="F3">
            <v>3.7274047450674898E-2</v>
          </cell>
          <cell r="G3">
            <v>3.5979454346916101E-2</v>
          </cell>
          <cell r="H3">
            <v>3.7456211539583298E-3</v>
          </cell>
          <cell r="I3">
            <v>5.4751566048297999E-4</v>
          </cell>
          <cell r="J3">
            <v>0</v>
          </cell>
          <cell r="K3">
            <v>2.9463506290289699E-2</v>
          </cell>
          <cell r="L3">
            <v>5.6489288649232798E-2</v>
          </cell>
          <cell r="M3">
            <v>5.7660051108284198E-2</v>
          </cell>
          <cell r="N3">
            <v>5.9100989519424501E-3</v>
          </cell>
          <cell r="O3">
            <v>1.82338065847201E-2</v>
          </cell>
          <cell r="P3">
            <v>1.02339375791211E-2</v>
          </cell>
          <cell r="Q3">
            <v>3.3702403235561701E-2</v>
          </cell>
          <cell r="R3">
            <v>4.3205637671533501E-2</v>
          </cell>
          <cell r="S3">
            <v>2.8784996228794001E-2</v>
          </cell>
          <cell r="T3">
            <v>3.6676385496054301E-2</v>
          </cell>
          <cell r="U3">
            <v>0</v>
          </cell>
          <cell r="V3">
            <v>0.118599055816918</v>
          </cell>
          <cell r="W3">
            <v>9.2222105100492099E-2</v>
          </cell>
          <cell r="X3">
            <v>5.8632275178300698E-2</v>
          </cell>
          <cell r="Y3">
            <v>0.107635438488406</v>
          </cell>
          <cell r="Z3">
            <v>0.14990671765896599</v>
          </cell>
        </row>
        <row r="4">
          <cell r="A4">
            <v>3</v>
          </cell>
          <cell r="B4">
            <v>1.16364098647085E-2</v>
          </cell>
          <cell r="C4">
            <v>0</v>
          </cell>
          <cell r="D4">
            <v>3.3341668444006399E-2</v>
          </cell>
          <cell r="E4">
            <v>3.5537514827216302E-2</v>
          </cell>
          <cell r="F4">
            <v>4.0522821568044397E-2</v>
          </cell>
          <cell r="G4">
            <v>5.9599368352705399E-2</v>
          </cell>
          <cell r="H4">
            <v>2.3818104070510802E-3</v>
          </cell>
          <cell r="I4">
            <v>0</v>
          </cell>
          <cell r="J4">
            <v>0</v>
          </cell>
          <cell r="K4">
            <v>5.1747378905375799E-2</v>
          </cell>
          <cell r="L4">
            <v>4.2768048228771401E-2</v>
          </cell>
          <cell r="M4">
            <v>5.6727432425191397E-2</v>
          </cell>
          <cell r="N4">
            <v>2.2793725973080299E-3</v>
          </cell>
          <cell r="O4">
            <v>1.8014870818042001E-2</v>
          </cell>
          <cell r="P4">
            <v>1.2707541629149899E-3</v>
          </cell>
          <cell r="Q4">
            <v>2.1149993118280402E-2</v>
          </cell>
          <cell r="R4">
            <v>4.5295898179968999E-2</v>
          </cell>
          <cell r="S4">
            <v>3.7625144857569397E-2</v>
          </cell>
          <cell r="T4">
            <v>4.1118011508756498E-2</v>
          </cell>
          <cell r="U4">
            <v>0</v>
          </cell>
          <cell r="V4">
            <v>0.10062807510424999</v>
          </cell>
          <cell r="W4">
            <v>6.4078789910033296E-2</v>
          </cell>
          <cell r="X4">
            <v>4.0721393322315502E-2</v>
          </cell>
          <cell r="Y4">
            <v>0.116337832542023</v>
          </cell>
          <cell r="Z4">
            <v>0.177217410855466</v>
          </cell>
        </row>
        <row r="5">
          <cell r="A5">
            <v>4</v>
          </cell>
          <cell r="B5">
            <v>0</v>
          </cell>
          <cell r="C5">
            <v>2.1785943982230101E-2</v>
          </cell>
          <cell r="D5">
            <v>1.1042458190097099E-2</v>
          </cell>
          <cell r="E5">
            <v>0</v>
          </cell>
          <cell r="F5">
            <v>3.8803740545383103E-2</v>
          </cell>
          <cell r="G5">
            <v>8.9262267628583802E-2</v>
          </cell>
          <cell r="H5">
            <v>1.5125674571455699E-2</v>
          </cell>
          <cell r="I5">
            <v>7.0376664125572504E-4</v>
          </cell>
          <cell r="J5">
            <v>0</v>
          </cell>
          <cell r="K5">
            <v>7.6018098617740601E-2</v>
          </cell>
          <cell r="L5">
            <v>1.99725890598705E-2</v>
          </cell>
          <cell r="M5">
            <v>2.69588856445988E-2</v>
          </cell>
          <cell r="N5">
            <v>6.0383520285259996E-3</v>
          </cell>
          <cell r="O5">
            <v>1.4416428481898299E-2</v>
          </cell>
          <cell r="P5">
            <v>1.29835527509912E-2</v>
          </cell>
          <cell r="Q5">
            <v>3.6438673672141299E-2</v>
          </cell>
          <cell r="R5">
            <v>4.7792433018881399E-2</v>
          </cell>
          <cell r="S5">
            <v>8.0195493016785593E-2</v>
          </cell>
          <cell r="T5">
            <v>2.5083886928844501E-2</v>
          </cell>
          <cell r="U5">
            <v>0</v>
          </cell>
          <cell r="V5">
            <v>7.8762274820359704E-2</v>
          </cell>
          <cell r="W5">
            <v>0.108917391152471</v>
          </cell>
          <cell r="X5">
            <v>5.3823250805992498E-2</v>
          </cell>
          <cell r="Y5">
            <v>0.10432698333768201</v>
          </cell>
          <cell r="Z5">
            <v>0.13154785510420799</v>
          </cell>
        </row>
        <row r="6">
          <cell r="A6">
            <v>5</v>
          </cell>
          <cell r="B6">
            <v>8.3188756011764002E-3</v>
          </cell>
          <cell r="C6">
            <v>1.23985609590561E-2</v>
          </cell>
          <cell r="D6">
            <v>2.9985491121608299E-2</v>
          </cell>
          <cell r="E6">
            <v>1.16245875888784E-2</v>
          </cell>
          <cell r="F6">
            <v>4.9896125565671398E-2</v>
          </cell>
          <cell r="G6">
            <v>2.0436608048323899E-2</v>
          </cell>
          <cell r="H6">
            <v>1.73659308507664E-3</v>
          </cell>
          <cell r="I6">
            <v>6.40338963939049E-3</v>
          </cell>
          <cell r="J6">
            <v>0</v>
          </cell>
          <cell r="K6">
            <v>7.5885073696966399E-2</v>
          </cell>
          <cell r="L6">
            <v>6.1806537345196297E-2</v>
          </cell>
          <cell r="M6">
            <v>3.9260325532699897E-2</v>
          </cell>
          <cell r="N6">
            <v>1.73659308507664E-3</v>
          </cell>
          <cell r="O6">
            <v>1.1076847098688201E-2</v>
          </cell>
          <cell r="P6">
            <v>1.73659308507664E-3</v>
          </cell>
          <cell r="Q6">
            <v>2.7349913753174901E-2</v>
          </cell>
          <cell r="R6">
            <v>3.1320407847212101E-2</v>
          </cell>
          <cell r="S6">
            <v>6.1012581260067103E-2</v>
          </cell>
          <cell r="T6">
            <v>2.7736722021165901E-2</v>
          </cell>
          <cell r="U6">
            <v>0</v>
          </cell>
          <cell r="V6">
            <v>8.3680830367446404E-2</v>
          </cell>
          <cell r="W6">
            <v>8.6186163254499099E-2</v>
          </cell>
          <cell r="X6">
            <v>9.4925032703853995E-2</v>
          </cell>
          <cell r="Y6">
            <v>0.11512898485667</v>
          </cell>
          <cell r="Z6">
            <v>0.14035716248302299</v>
          </cell>
        </row>
        <row r="7">
          <cell r="A7">
            <v>6</v>
          </cell>
          <cell r="B7">
            <v>0</v>
          </cell>
          <cell r="C7">
            <v>8.4886414228794605E-3</v>
          </cell>
          <cell r="D7">
            <v>1.2984169564310701E-2</v>
          </cell>
          <cell r="E7">
            <v>4.84719036535676E-3</v>
          </cell>
          <cell r="F7">
            <v>6.2663221428853194E-2</v>
          </cell>
          <cell r="G7">
            <v>2.6259982078751999E-2</v>
          </cell>
          <cell r="H7">
            <v>5.8009238647528097E-3</v>
          </cell>
          <cell r="I7">
            <v>1.34846119598969E-2</v>
          </cell>
          <cell r="J7">
            <v>0</v>
          </cell>
          <cell r="K7">
            <v>5.9024306396983799E-2</v>
          </cell>
          <cell r="L7">
            <v>4.7284480086562997E-2</v>
          </cell>
          <cell r="M7">
            <v>1.5879465518504499E-2</v>
          </cell>
          <cell r="N7">
            <v>5.8009238647528097E-3</v>
          </cell>
          <cell r="O7">
            <v>1.69119097400291E-2</v>
          </cell>
          <cell r="P7">
            <v>1.33427823770638E-2</v>
          </cell>
          <cell r="Q7">
            <v>3.8478835457020001E-2</v>
          </cell>
          <cell r="R7">
            <v>4.1108694059500697E-2</v>
          </cell>
          <cell r="S7">
            <v>5.21835180874985E-2</v>
          </cell>
          <cell r="T7">
            <v>2.2967657219501399E-2</v>
          </cell>
          <cell r="U7">
            <v>0</v>
          </cell>
          <cell r="V7">
            <v>0.13403994522184501</v>
          </cell>
          <cell r="W7">
            <v>0.12841109539401299</v>
          </cell>
          <cell r="X7">
            <v>5.7867315137818898E-2</v>
          </cell>
          <cell r="Y7">
            <v>9.2941113484330096E-2</v>
          </cell>
          <cell r="Z7">
            <v>0.139229217269771</v>
          </cell>
        </row>
        <row r="8">
          <cell r="A8">
            <v>7</v>
          </cell>
          <cell r="B8">
            <v>0</v>
          </cell>
          <cell r="C8">
            <v>3.9917983375622103E-3</v>
          </cell>
          <cell r="D8">
            <v>7.3147620962273402E-3</v>
          </cell>
          <cell r="E8">
            <v>1.7753540282720699E-2</v>
          </cell>
          <cell r="F8">
            <v>0.10669509686600601</v>
          </cell>
          <cell r="G8">
            <v>1.2176433722645401E-2</v>
          </cell>
          <cell r="H8">
            <v>5.8955423176029198E-3</v>
          </cell>
          <cell r="I8">
            <v>1.0813672066134199E-3</v>
          </cell>
          <cell r="J8">
            <v>0</v>
          </cell>
          <cell r="K8">
            <v>6.3986170448564195E-2</v>
          </cell>
          <cell r="L8">
            <v>4.3007049199818098E-2</v>
          </cell>
          <cell r="M8">
            <v>3.3174374345429303E-2</v>
          </cell>
          <cell r="N8">
            <v>5.8955423176029198E-3</v>
          </cell>
          <cell r="O8">
            <v>1.1344497902087801E-2</v>
          </cell>
          <cell r="P8">
            <v>1.7700965523504201E-2</v>
          </cell>
          <cell r="Q8">
            <v>3.02427340786602E-2</v>
          </cell>
          <cell r="R8">
            <v>3.17058657300393E-2</v>
          </cell>
          <cell r="S8">
            <v>3.3566892718216598E-2</v>
          </cell>
          <cell r="T8">
            <v>2.50575484509265E-2</v>
          </cell>
          <cell r="U8">
            <v>0</v>
          </cell>
          <cell r="V8">
            <v>0.14948019694026801</v>
          </cell>
          <cell r="W8">
            <v>8.0842355181929504E-2</v>
          </cell>
          <cell r="X8">
            <v>6.8764200412592305E-2</v>
          </cell>
          <cell r="Y8">
            <v>9.3524820962034405E-2</v>
          </cell>
          <cell r="Z8">
            <v>0.15679824495894601</v>
          </cell>
        </row>
        <row r="9">
          <cell r="A9">
            <v>8</v>
          </cell>
          <cell r="B9">
            <v>4.8379897795681999E-3</v>
          </cell>
          <cell r="C9">
            <v>0</v>
          </cell>
          <cell r="D9">
            <v>2.0234107328448402E-2</v>
          </cell>
          <cell r="E9">
            <v>1.44470723561331E-2</v>
          </cell>
          <cell r="F9">
            <v>0.13601137712522701</v>
          </cell>
          <cell r="G9">
            <v>1.81190923274691E-2</v>
          </cell>
          <cell r="H9">
            <v>3.0842779484592298E-3</v>
          </cell>
          <cell r="I9">
            <v>2.4582411195593502E-3</v>
          </cell>
          <cell r="J9">
            <v>3.0487541641141699E-2</v>
          </cell>
          <cell r="K9">
            <v>7.1396919599103298E-2</v>
          </cell>
          <cell r="L9">
            <v>4.0304986019422603E-2</v>
          </cell>
          <cell r="M9">
            <v>3.1212169756355799E-2</v>
          </cell>
          <cell r="N9">
            <v>2.1162518518571299E-2</v>
          </cell>
          <cell r="O9">
            <v>2.69584136245784E-2</v>
          </cell>
          <cell r="P9">
            <v>3.0842779484592298E-3</v>
          </cell>
          <cell r="Q9">
            <v>2.2176974094277199E-2</v>
          </cell>
          <cell r="R9">
            <v>2.5950855871075401E-2</v>
          </cell>
          <cell r="S9">
            <v>3.6028038933687001E-2</v>
          </cell>
          <cell r="T9">
            <v>1.18782282253889E-2</v>
          </cell>
          <cell r="U9">
            <v>0</v>
          </cell>
          <cell r="V9">
            <v>0.13570293743758499</v>
          </cell>
          <cell r="W9">
            <v>7.5567009904678004E-2</v>
          </cell>
          <cell r="X9">
            <v>5.64419653512876E-2</v>
          </cell>
          <cell r="Y9">
            <v>8.4498916625666207E-2</v>
          </cell>
          <cell r="Z9">
            <v>0.127956088463856</v>
          </cell>
        </row>
        <row r="10">
          <cell r="A10">
            <v>9</v>
          </cell>
          <cell r="B10">
            <v>4.9886010930502399E-3</v>
          </cell>
          <cell r="C10">
            <v>0</v>
          </cell>
          <cell r="D10">
            <v>2.9291905911605302E-2</v>
          </cell>
          <cell r="E10">
            <v>1.4730670068473201E-2</v>
          </cell>
          <cell r="F10">
            <v>7.3939819197456305E-2</v>
          </cell>
          <cell r="G10">
            <v>1.9670861382854499E-2</v>
          </cell>
          <cell r="H10">
            <v>1.08168369919511E-3</v>
          </cell>
          <cell r="I10">
            <v>0</v>
          </cell>
          <cell r="J10">
            <v>2.7477071187111499E-2</v>
          </cell>
          <cell r="K10">
            <v>9.9573860953816207E-2</v>
          </cell>
          <cell r="L10">
            <v>2.98220195868092E-2</v>
          </cell>
          <cell r="M10">
            <v>3.1941676324240102E-2</v>
          </cell>
          <cell r="N10">
            <v>1.7401364854305601E-2</v>
          </cell>
          <cell r="O10">
            <v>7.4327629402397202E-3</v>
          </cell>
          <cell r="P10">
            <v>1.08168369919511E-3</v>
          </cell>
          <cell r="Q10">
            <v>4.2928834167515299E-2</v>
          </cell>
          <cell r="R10">
            <v>2.6058824264789698E-2</v>
          </cell>
          <cell r="S10">
            <v>5.1232707136000297E-2</v>
          </cell>
          <cell r="T10">
            <v>2.3929857954537899E-2</v>
          </cell>
          <cell r="U10">
            <v>0</v>
          </cell>
          <cell r="V10">
            <v>9.7947079600305395E-2</v>
          </cell>
          <cell r="W10">
            <v>8.9505424954070503E-2</v>
          </cell>
          <cell r="X10">
            <v>6.3839464662324499E-2</v>
          </cell>
          <cell r="Y10">
            <v>9.1308290227794603E-2</v>
          </cell>
          <cell r="Z10">
            <v>0.15481553613430801</v>
          </cell>
        </row>
        <row r="11">
          <cell r="A11">
            <v>10</v>
          </cell>
          <cell r="B11">
            <v>8.4739443880291008E-3</v>
          </cell>
          <cell r="C11">
            <v>0</v>
          </cell>
          <cell r="D11">
            <v>1.1840070795288701E-2</v>
          </cell>
          <cell r="E11">
            <v>2.9597725627808699E-2</v>
          </cell>
          <cell r="F11">
            <v>0.16285919324503101</v>
          </cell>
          <cell r="G11">
            <v>2.01025853476876E-2</v>
          </cell>
          <cell r="H11">
            <v>2.1492983355330801E-3</v>
          </cell>
          <cell r="I11">
            <v>2.8926052874618398E-3</v>
          </cell>
          <cell r="J11">
            <v>3.6811670763502703E-2</v>
          </cell>
          <cell r="K11">
            <v>9.8479318995734796E-2</v>
          </cell>
          <cell r="L11">
            <v>3.46579463605571E-2</v>
          </cell>
          <cell r="M11">
            <v>1.32171225073494E-2</v>
          </cell>
          <cell r="N11">
            <v>8.6791096359368804E-3</v>
          </cell>
          <cell r="O11">
            <v>1.5591060787405501E-2</v>
          </cell>
          <cell r="P11">
            <v>2.1492983355330801E-3</v>
          </cell>
          <cell r="Q11">
            <v>2.2805618763202799E-2</v>
          </cell>
          <cell r="R11">
            <v>1.30122296328209E-2</v>
          </cell>
          <cell r="S11">
            <v>4.79686291236733E-2</v>
          </cell>
          <cell r="T11">
            <v>1.2314204755189699E-2</v>
          </cell>
          <cell r="U11">
            <v>0</v>
          </cell>
          <cell r="V11">
            <v>0.11056003167157601</v>
          </cell>
          <cell r="W11">
            <v>9.5860244674368406E-2</v>
          </cell>
          <cell r="X11">
            <v>7.7336948272822503E-2</v>
          </cell>
          <cell r="Y11">
            <v>6.7969074454148404E-2</v>
          </cell>
          <cell r="Z11">
            <v>0.104672068239336</v>
          </cell>
        </row>
        <row r="12">
          <cell r="A12">
            <v>11</v>
          </cell>
          <cell r="B12">
            <v>2.2576453934850201E-2</v>
          </cell>
          <cell r="C12">
            <v>0</v>
          </cell>
          <cell r="D12">
            <v>1.05873225539034E-2</v>
          </cell>
          <cell r="E12">
            <v>8.3618378505325303E-2</v>
          </cell>
          <cell r="F12">
            <v>7.5484148372657295E-2</v>
          </cell>
          <cell r="G12">
            <v>1.1531111743354701E-2</v>
          </cell>
          <cell r="H12">
            <v>2.15845648940021E-3</v>
          </cell>
          <cell r="I12">
            <v>4.3698812362090202E-3</v>
          </cell>
          <cell r="J12">
            <v>2.5765065136351298E-2</v>
          </cell>
          <cell r="K12">
            <v>2.85634249119451E-2</v>
          </cell>
          <cell r="L12">
            <v>3.0805325880387899E-2</v>
          </cell>
          <cell r="M12">
            <v>2.2915587097633501E-3</v>
          </cell>
          <cell r="N12">
            <v>7.9669517021018401E-3</v>
          </cell>
          <cell r="O12">
            <v>7.4883873911399997E-3</v>
          </cell>
          <cell r="P12">
            <v>2.15845648940021E-3</v>
          </cell>
          <cell r="Q12">
            <v>2.2502843635951501E-2</v>
          </cell>
          <cell r="R12">
            <v>9.5684625437499303E-3</v>
          </cell>
          <cell r="S12">
            <v>3.0784878575138199E-2</v>
          </cell>
          <cell r="T12">
            <v>1.4472018446974501E-2</v>
          </cell>
          <cell r="U12">
            <v>0</v>
          </cell>
          <cell r="V12">
            <v>0.19349869166456801</v>
          </cell>
          <cell r="W12">
            <v>0.13532756875114199</v>
          </cell>
          <cell r="X12">
            <v>0.12558004623427799</v>
          </cell>
          <cell r="Y12">
            <v>6.6030190738305405E-2</v>
          </cell>
          <cell r="Z12">
            <v>8.6870376353100395E-2</v>
          </cell>
        </row>
        <row r="13">
          <cell r="A13">
            <v>12</v>
          </cell>
          <cell r="B13">
            <v>1.45960651545204E-2</v>
          </cell>
          <cell r="C13">
            <v>0</v>
          </cell>
          <cell r="D13">
            <v>2.6200288645069299E-2</v>
          </cell>
          <cell r="E13">
            <v>1.8809133447869001E-2</v>
          </cell>
          <cell r="F13">
            <v>6.0378276467388102E-2</v>
          </cell>
          <cell r="G13">
            <v>1.7802895050223099E-2</v>
          </cell>
          <cell r="H13">
            <v>3.49620717138425E-3</v>
          </cell>
          <cell r="I13">
            <v>1.0992441761557401E-2</v>
          </cell>
          <cell r="J13">
            <v>4.5778472387098403E-2</v>
          </cell>
          <cell r="K13">
            <v>9.3260726510666206E-2</v>
          </cell>
          <cell r="L13">
            <v>2.5742503921198399E-2</v>
          </cell>
          <cell r="M13">
            <v>2.2806045095183702E-2</v>
          </cell>
          <cell r="N13">
            <v>2.4235561047621999E-2</v>
          </cell>
          <cell r="O13">
            <v>1.6951121023418701E-2</v>
          </cell>
          <cell r="P13">
            <v>3.49620717138425E-3</v>
          </cell>
          <cell r="Q13">
            <v>2.5891593586246701E-2</v>
          </cell>
          <cell r="R13">
            <v>1.9589634202197299E-2</v>
          </cell>
          <cell r="S13">
            <v>4.2203358303125903E-2</v>
          </cell>
          <cell r="T13">
            <v>3.2805802065008702E-2</v>
          </cell>
          <cell r="U13">
            <v>0</v>
          </cell>
          <cell r="V13">
            <v>9.7459072783798395E-2</v>
          </cell>
          <cell r="W13">
            <v>0.11221264018634799</v>
          </cell>
          <cell r="X13">
            <v>4.17009401528846E-2</v>
          </cell>
          <cell r="Y13">
            <v>9.5691962992112703E-2</v>
          </cell>
          <cell r="Z13">
            <v>0.14789905087369301</v>
          </cell>
        </row>
        <row r="14">
          <cell r="A14">
            <v>13</v>
          </cell>
          <cell r="B14">
            <v>1.2325562194105501E-2</v>
          </cell>
          <cell r="C14">
            <v>0</v>
          </cell>
          <cell r="D14">
            <v>2.56941135351259E-2</v>
          </cell>
          <cell r="E14">
            <v>1.6337201316158199E-2</v>
          </cell>
          <cell r="F14">
            <v>9.0136180986200395E-2</v>
          </cell>
          <cell r="G14">
            <v>2.50198915839254E-2</v>
          </cell>
          <cell r="H14">
            <v>3.3258160609467998E-3</v>
          </cell>
          <cell r="I14">
            <v>9.7023537788085406E-3</v>
          </cell>
          <cell r="J14">
            <v>3.0856484026937699E-2</v>
          </cell>
          <cell r="K14">
            <v>0.101415051551506</v>
          </cell>
          <cell r="L14">
            <v>3.0688391349373199E-2</v>
          </cell>
          <cell r="M14">
            <v>7.1509735120743401E-3</v>
          </cell>
          <cell r="N14">
            <v>1.1954450093197601E-2</v>
          </cell>
          <cell r="O14">
            <v>7.8903591444452904E-3</v>
          </cell>
          <cell r="P14">
            <v>3.3258160609467998E-3</v>
          </cell>
          <cell r="Q14">
            <v>2.0622824097677302E-2</v>
          </cell>
          <cell r="R14">
            <v>3.30727896831082E-2</v>
          </cell>
          <cell r="S14">
            <v>8.0437159441088105E-2</v>
          </cell>
          <cell r="T14">
            <v>2.5985498859450399E-2</v>
          </cell>
          <cell r="U14">
            <v>0</v>
          </cell>
          <cell r="V14">
            <v>0.10044500129771899</v>
          </cell>
          <cell r="W14">
            <v>9.2164400562629104E-2</v>
          </cell>
          <cell r="X14">
            <v>4.6112930880957401E-2</v>
          </cell>
          <cell r="Y14">
            <v>8.9929582497035199E-2</v>
          </cell>
          <cell r="Z14">
            <v>0.13540716748658099</v>
          </cell>
        </row>
        <row r="15">
          <cell r="A15">
            <v>14</v>
          </cell>
          <cell r="B15">
            <v>4.3976857695763099E-3</v>
          </cell>
          <cell r="C15">
            <v>0</v>
          </cell>
          <cell r="D15">
            <v>1.0547118862872001E-2</v>
          </cell>
          <cell r="E15">
            <v>1.9878556484443199E-2</v>
          </cell>
          <cell r="F15">
            <v>6.9354639737923204E-2</v>
          </cell>
          <cell r="G15">
            <v>2.0097867573484699E-2</v>
          </cell>
          <cell r="H15">
            <v>0</v>
          </cell>
          <cell r="I15">
            <v>1.23723852448496E-2</v>
          </cell>
          <cell r="J15">
            <v>2.7877180805793801E-2</v>
          </cell>
          <cell r="K15">
            <v>5.3807228044903899E-2</v>
          </cell>
          <cell r="L15">
            <v>3.7443380979498099E-2</v>
          </cell>
          <cell r="M15">
            <v>2.97762154631762E-2</v>
          </cell>
          <cell r="N15">
            <v>1.04372141012045E-2</v>
          </cell>
          <cell r="O15">
            <v>1.3144709182281099E-2</v>
          </cell>
          <cell r="P15">
            <v>0</v>
          </cell>
          <cell r="Q15">
            <v>2.7621982447636299E-2</v>
          </cell>
          <cell r="R15">
            <v>3.3754717992107199E-2</v>
          </cell>
          <cell r="S15">
            <v>8.2862707520002701E-2</v>
          </cell>
          <cell r="T15">
            <v>2.3408218932278901E-2</v>
          </cell>
          <cell r="U15">
            <v>0</v>
          </cell>
          <cell r="V15">
            <v>0.12982543584963699</v>
          </cell>
          <cell r="W15">
            <v>6.4280329415224394E-2</v>
          </cell>
          <cell r="X15">
            <v>0.116704651513433</v>
          </cell>
          <cell r="Y15">
            <v>8.9947452564631297E-2</v>
          </cell>
          <cell r="Z15">
            <v>0.12246032151503999</v>
          </cell>
        </row>
        <row r="16">
          <cell r="A16">
            <v>15</v>
          </cell>
          <cell r="B16">
            <v>0</v>
          </cell>
          <cell r="C16">
            <v>3.2515665162529601E-3</v>
          </cell>
          <cell r="D16">
            <v>1.8975184174248198E-2</v>
          </cell>
          <cell r="E16">
            <v>4.2116108122502403E-3</v>
          </cell>
          <cell r="F16">
            <v>5.6927582214702399E-2</v>
          </cell>
          <cell r="G16">
            <v>2.98113035980755E-2</v>
          </cell>
          <cell r="H16">
            <v>0</v>
          </cell>
          <cell r="I16">
            <v>3.5418124662056202E-3</v>
          </cell>
          <cell r="J16">
            <v>2.53114765278303E-2</v>
          </cell>
          <cell r="K16">
            <v>4.7055566470787798E-2</v>
          </cell>
          <cell r="L16">
            <v>3.9900902319856699E-2</v>
          </cell>
          <cell r="M16">
            <v>2.86560029357464E-2</v>
          </cell>
          <cell r="N16">
            <v>0</v>
          </cell>
          <cell r="O16">
            <v>4.6593608581212802E-3</v>
          </cell>
          <cell r="P16">
            <v>0</v>
          </cell>
          <cell r="Q16">
            <v>8.2118900978636195E-2</v>
          </cell>
          <cell r="R16">
            <v>5.8032140578088698E-2</v>
          </cell>
          <cell r="S16">
            <v>5.9565775821335099E-2</v>
          </cell>
          <cell r="T16">
            <v>1.54475795517465E-2</v>
          </cell>
          <cell r="U16">
            <v>0</v>
          </cell>
          <cell r="V16">
            <v>0.12982640450624</v>
          </cell>
          <cell r="W16">
            <v>9.9159382778794394E-2</v>
          </cell>
          <cell r="X16">
            <v>8.4008138252873593E-2</v>
          </cell>
          <cell r="Y16">
            <v>7.9716151639097996E-2</v>
          </cell>
          <cell r="Z16">
            <v>0.12982315699910801</v>
          </cell>
        </row>
        <row r="17">
          <cell r="A17">
            <v>16</v>
          </cell>
          <cell r="B17">
            <v>0</v>
          </cell>
          <cell r="C17">
            <v>6.2808191422571297E-3</v>
          </cell>
          <cell r="D17">
            <v>3.3210179024846499E-2</v>
          </cell>
          <cell r="E17">
            <v>1.6476336514299601E-2</v>
          </cell>
          <cell r="F17">
            <v>5.3645227563967897E-2</v>
          </cell>
          <cell r="G17">
            <v>3.6732800344825303E-2</v>
          </cell>
          <cell r="H17">
            <v>0</v>
          </cell>
          <cell r="I17">
            <v>1.7071787511515599E-2</v>
          </cell>
          <cell r="J17">
            <v>8.6383396579976304E-3</v>
          </cell>
          <cell r="K17">
            <v>3.5901597296035197E-2</v>
          </cell>
          <cell r="L17">
            <v>6.8403508354779499E-2</v>
          </cell>
          <cell r="M17">
            <v>1.5459466077252799E-2</v>
          </cell>
          <cell r="N17">
            <v>0</v>
          </cell>
          <cell r="O17">
            <v>6.3733998835405004E-3</v>
          </cell>
          <cell r="P17">
            <v>0</v>
          </cell>
          <cell r="Q17">
            <v>2.3312134198566901E-2</v>
          </cell>
          <cell r="R17">
            <v>7.0299642881173297E-2</v>
          </cell>
          <cell r="S17">
            <v>8.6857936117264806E-2</v>
          </cell>
          <cell r="T17">
            <v>1.01312673494032E-2</v>
          </cell>
          <cell r="U17">
            <v>0</v>
          </cell>
          <cell r="V17">
            <v>9.5423425355892003E-2</v>
          </cell>
          <cell r="W17">
            <v>0.116358308716805</v>
          </cell>
          <cell r="X17">
            <v>0.137723717819971</v>
          </cell>
          <cell r="Y17">
            <v>7.8514033570889694E-2</v>
          </cell>
          <cell r="Z17">
            <v>8.3186072618714496E-2</v>
          </cell>
        </row>
        <row r="18">
          <cell r="A18">
            <v>17</v>
          </cell>
          <cell r="B18">
            <v>6.4349247680210503E-3</v>
          </cell>
          <cell r="C18">
            <v>1.10674704331367E-2</v>
          </cell>
          <cell r="D18">
            <v>3.4386805059539997E-2</v>
          </cell>
          <cell r="E18">
            <v>4.19314151926867E-2</v>
          </cell>
          <cell r="F18">
            <v>3.8759590572988299E-2</v>
          </cell>
          <cell r="G18">
            <v>2.8548297101845602E-2</v>
          </cell>
          <cell r="H18">
            <v>0</v>
          </cell>
          <cell r="I18">
            <v>3.5666225397415802E-3</v>
          </cell>
          <cell r="J18">
            <v>6.8800492637784601E-3</v>
          </cell>
          <cell r="K18">
            <v>3.6744652019861802E-2</v>
          </cell>
          <cell r="L18">
            <v>6.2801627330143897E-2</v>
          </cell>
          <cell r="M18">
            <v>2.1764837352947101E-2</v>
          </cell>
          <cell r="N18">
            <v>0</v>
          </cell>
          <cell r="O18">
            <v>1.2328448112831499E-3</v>
          </cell>
          <cell r="P18">
            <v>0</v>
          </cell>
          <cell r="Q18">
            <v>2.7367966978264199E-2</v>
          </cell>
          <cell r="R18">
            <v>8.9716342539554003E-2</v>
          </cell>
          <cell r="S18">
            <v>4.5506477592951698E-2</v>
          </cell>
          <cell r="T18">
            <v>2.5549333329165501E-2</v>
          </cell>
          <cell r="U18">
            <v>0</v>
          </cell>
          <cell r="V18">
            <v>9.13649286284757E-2</v>
          </cell>
          <cell r="W18">
            <v>0.114600177237071</v>
          </cell>
          <cell r="X18">
            <v>0.10716059647932701</v>
          </cell>
          <cell r="Y18">
            <v>8.9010832717275598E-2</v>
          </cell>
          <cell r="Z18">
            <v>0.11560420805193899</v>
          </cell>
        </row>
        <row r="19">
          <cell r="A19">
            <v>18</v>
          </cell>
          <cell r="B19">
            <v>0</v>
          </cell>
          <cell r="C19">
            <v>5.9505627130013901E-3</v>
          </cell>
          <cell r="D19">
            <v>1.8240406327301902E-2</v>
          </cell>
          <cell r="E19">
            <v>1.47191825538006E-2</v>
          </cell>
          <cell r="F19">
            <v>5.2827340844159298E-2</v>
          </cell>
          <cell r="G19">
            <v>8.5440137997951499E-3</v>
          </cell>
          <cell r="H19">
            <v>0</v>
          </cell>
          <cell r="I19">
            <v>8.241544331243E-3</v>
          </cell>
          <cell r="J19">
            <v>1.72497439491132E-3</v>
          </cell>
          <cell r="K19">
            <v>4.5857965129163403E-2</v>
          </cell>
          <cell r="L19">
            <v>5.4171982342970403E-2</v>
          </cell>
          <cell r="M19">
            <v>1.0210291149323999E-2</v>
          </cell>
          <cell r="N19">
            <v>0</v>
          </cell>
          <cell r="O19">
            <v>0</v>
          </cell>
          <cell r="P19">
            <v>0</v>
          </cell>
          <cell r="Q19">
            <v>6.5912589318335602E-2</v>
          </cell>
          <cell r="R19">
            <v>4.5255421989829799E-2</v>
          </cell>
          <cell r="S19">
            <v>4.2530202025647001E-2</v>
          </cell>
          <cell r="T19">
            <v>2.39178480944423E-2</v>
          </cell>
          <cell r="U19">
            <v>0</v>
          </cell>
          <cell r="V19">
            <v>0.107001120035457</v>
          </cell>
          <cell r="W19">
            <v>0.18964715888331801</v>
          </cell>
          <cell r="X19">
            <v>0.14876885942057599</v>
          </cell>
          <cell r="Y19">
            <v>6.9609904227984104E-2</v>
          </cell>
          <cell r="Z19">
            <v>8.6868632418737504E-2</v>
          </cell>
        </row>
        <row r="20">
          <cell r="A20">
            <v>19</v>
          </cell>
          <cell r="B20">
            <v>0</v>
          </cell>
          <cell r="C20">
            <v>1.4177777739064E-2</v>
          </cell>
          <cell r="D20">
            <v>2.0103586233448802E-2</v>
          </cell>
          <cell r="E20">
            <v>2.56091091775556E-2</v>
          </cell>
          <cell r="F20">
            <v>2.97901882269524E-2</v>
          </cell>
          <cell r="G20">
            <v>1.1965290075424901E-2</v>
          </cell>
          <cell r="H20">
            <v>0</v>
          </cell>
          <cell r="I20">
            <v>1.2826331042159999E-2</v>
          </cell>
          <cell r="J20">
            <v>1.71925099453062E-2</v>
          </cell>
          <cell r="K20">
            <v>3.9005983298331298E-2</v>
          </cell>
          <cell r="L20">
            <v>4.9420789892938202E-2</v>
          </cell>
          <cell r="M20">
            <v>2.2720680400930601E-2</v>
          </cell>
          <cell r="N20">
            <v>0</v>
          </cell>
          <cell r="O20">
            <v>1.4034053146741001E-2</v>
          </cell>
          <cell r="P20">
            <v>0</v>
          </cell>
          <cell r="Q20">
            <v>4.4012389930916301E-2</v>
          </cell>
          <cell r="R20">
            <v>8.2733972748075105E-2</v>
          </cell>
          <cell r="S20">
            <v>7.0680705800985802E-2</v>
          </cell>
          <cell r="T20">
            <v>2.9600733082526601E-2</v>
          </cell>
          <cell r="U20">
            <v>0</v>
          </cell>
          <cell r="V20">
            <v>9.3267678778149302E-2</v>
          </cell>
          <cell r="W20">
            <v>9.3749373926965196E-2</v>
          </cell>
          <cell r="X20">
            <v>0.14756944293218999</v>
          </cell>
          <cell r="Y20">
            <v>8.5986503825251803E-2</v>
          </cell>
          <cell r="Z20">
            <v>9.5552899796085194E-2</v>
          </cell>
        </row>
        <row r="21">
          <cell r="A21">
            <v>20</v>
          </cell>
          <cell r="B21">
            <v>0</v>
          </cell>
          <cell r="C21">
            <v>1.21235541924827E-2</v>
          </cell>
          <cell r="D21">
            <v>3.0429452413716099E-2</v>
          </cell>
          <cell r="E21">
            <v>2.25345510553287E-2</v>
          </cell>
          <cell r="F21">
            <v>4.9748402518316102E-2</v>
          </cell>
          <cell r="G21">
            <v>4.8221704123678703E-2</v>
          </cell>
          <cell r="H21">
            <v>2.6631171633002399E-2</v>
          </cell>
          <cell r="I21">
            <v>9.3376011694147592E-3</v>
          </cell>
          <cell r="J21">
            <v>0</v>
          </cell>
          <cell r="K21">
            <v>5.0798867563922698E-2</v>
          </cell>
          <cell r="L21">
            <v>5.70299693912057E-2</v>
          </cell>
          <cell r="M21">
            <v>3.1808187786074901E-2</v>
          </cell>
          <cell r="N21">
            <v>4.5764745553083602E-4</v>
          </cell>
          <cell r="O21">
            <v>1.0631131081962E-2</v>
          </cell>
          <cell r="P21">
            <v>4.5764745553083602E-4</v>
          </cell>
          <cell r="Q21">
            <v>2.6490208492691202E-2</v>
          </cell>
          <cell r="R21">
            <v>3.7890361090118098E-2</v>
          </cell>
          <cell r="S21">
            <v>4.6844175627521301E-2</v>
          </cell>
          <cell r="T21">
            <v>8.6771985120664599E-2</v>
          </cell>
          <cell r="U21">
            <v>0</v>
          </cell>
          <cell r="V21">
            <v>0.114373726594748</v>
          </cell>
          <cell r="W21">
            <v>4.9875607269932502E-2</v>
          </cell>
          <cell r="X21">
            <v>7.6718464988642002E-2</v>
          </cell>
          <cell r="Y21">
            <v>8.0450367578284596E-2</v>
          </cell>
          <cell r="Z21">
            <v>0.13037521539722999</v>
          </cell>
        </row>
        <row r="22">
          <cell r="A22">
            <v>21</v>
          </cell>
          <cell r="B22">
            <v>0</v>
          </cell>
          <cell r="C22">
            <v>4.4809229274295802E-3</v>
          </cell>
          <cell r="D22">
            <v>6.3615532288399501E-2</v>
          </cell>
          <cell r="E22">
            <v>1.24153758128307E-2</v>
          </cell>
          <cell r="F22">
            <v>3.6080565428087297E-2</v>
          </cell>
          <cell r="G22">
            <v>1.00000278426279E-2</v>
          </cell>
          <cell r="H22">
            <v>1.05747460868346E-2</v>
          </cell>
          <cell r="I22">
            <v>6.27329209840141E-3</v>
          </cell>
          <cell r="J22">
            <v>0</v>
          </cell>
          <cell r="K22">
            <v>4.2688317094120597E-2</v>
          </cell>
          <cell r="L22">
            <v>7.3300590402924595E-2</v>
          </cell>
          <cell r="M22">
            <v>3.4248868545208699E-2</v>
          </cell>
          <cell r="N22">
            <v>5.9490414943324003E-4</v>
          </cell>
          <cell r="O22">
            <v>7.8404840162433903E-3</v>
          </cell>
          <cell r="P22">
            <v>5.9490414943324003E-4</v>
          </cell>
          <cell r="Q22">
            <v>2.46247161792118E-2</v>
          </cell>
          <cell r="R22">
            <v>7.3063580032937794E-2</v>
          </cell>
          <cell r="S22">
            <v>5.2720711991680602E-2</v>
          </cell>
          <cell r="T22">
            <v>3.73989138590856E-2</v>
          </cell>
          <cell r="U22">
            <v>0</v>
          </cell>
          <cell r="V22">
            <v>0.119308792841103</v>
          </cell>
          <cell r="W22">
            <v>0.110708205083228</v>
          </cell>
          <cell r="X22">
            <v>0.102498806247328</v>
          </cell>
          <cell r="Y22">
            <v>8.2560352376298704E-2</v>
          </cell>
          <cell r="Z22">
            <v>9.4407390547149403E-2</v>
          </cell>
        </row>
        <row r="23">
          <cell r="A23">
            <v>22</v>
          </cell>
          <cell r="B23">
            <v>0</v>
          </cell>
          <cell r="C23">
            <v>2.0417916713052198E-2</v>
          </cell>
          <cell r="D23">
            <v>4.3507641384943799E-2</v>
          </cell>
          <cell r="E23">
            <v>5.16109910010841E-2</v>
          </cell>
          <cell r="F23">
            <v>4.6557388208449201E-2</v>
          </cell>
          <cell r="G23">
            <v>7.9204073514427195E-3</v>
          </cell>
          <cell r="H23">
            <v>0</v>
          </cell>
          <cell r="I23">
            <v>9.1045685221597603E-3</v>
          </cell>
          <cell r="J23">
            <v>0</v>
          </cell>
          <cell r="K23">
            <v>1.1157350910917701E-2</v>
          </cell>
          <cell r="L23">
            <v>6.34717478289787E-2</v>
          </cell>
          <cell r="M23">
            <v>1.4502074409284299E-2</v>
          </cell>
          <cell r="N23">
            <v>0</v>
          </cell>
          <cell r="O23">
            <v>1.8705492026057199E-2</v>
          </cell>
          <cell r="P23">
            <v>0</v>
          </cell>
          <cell r="Q23">
            <v>7.7944750017904199E-2</v>
          </cell>
          <cell r="R23">
            <v>4.8028017111483398E-2</v>
          </cell>
          <cell r="S23">
            <v>4.4150775625566803E-2</v>
          </cell>
          <cell r="T23">
            <v>4.2202936861518998E-2</v>
          </cell>
          <cell r="U23">
            <v>0</v>
          </cell>
          <cell r="V23">
            <v>9.9643971662385006E-2</v>
          </cell>
          <cell r="W23">
            <v>0.141618585232304</v>
          </cell>
          <cell r="X23">
            <v>7.9111893303533104E-2</v>
          </cell>
          <cell r="Y23">
            <v>8.8393731462027697E-2</v>
          </cell>
          <cell r="Z23">
            <v>9.1949760366905595E-2</v>
          </cell>
        </row>
        <row r="24">
          <cell r="A24">
            <v>23</v>
          </cell>
          <cell r="B24">
            <v>0</v>
          </cell>
          <cell r="C24">
            <v>3.0081530640174801E-2</v>
          </cell>
          <cell r="D24">
            <v>2.1592575000304402E-2</v>
          </cell>
          <cell r="E24">
            <v>2.15175762983589E-2</v>
          </cell>
          <cell r="F24">
            <v>5.9008273574752197E-2</v>
          </cell>
          <cell r="G24">
            <v>2.77171484852505E-2</v>
          </cell>
          <cell r="H24">
            <v>0</v>
          </cell>
          <cell r="I24">
            <v>2.0387467652803401E-2</v>
          </cell>
          <cell r="J24">
            <v>0</v>
          </cell>
          <cell r="K24">
            <v>2.5990255296863399E-2</v>
          </cell>
          <cell r="L24">
            <v>4.0878138647600301E-2</v>
          </cell>
          <cell r="M24">
            <v>2.6495054252266101E-2</v>
          </cell>
          <cell r="N24">
            <v>0</v>
          </cell>
          <cell r="O24">
            <v>1.7217330212874499E-2</v>
          </cell>
          <cell r="P24">
            <v>0</v>
          </cell>
          <cell r="Q24">
            <v>5.0794313175348799E-2</v>
          </cell>
          <cell r="R24">
            <v>4.6786369723088098E-2</v>
          </cell>
          <cell r="S24">
            <v>3.93342551122512E-2</v>
          </cell>
          <cell r="T24">
            <v>3.7797422736914103E-2</v>
          </cell>
          <cell r="U24">
            <v>0</v>
          </cell>
          <cell r="V24">
            <v>0.116614007321668</v>
          </cell>
          <cell r="W24">
            <v>0.13293423767665499</v>
          </cell>
          <cell r="X24">
            <v>9.21891095474629E-2</v>
          </cell>
          <cell r="Y24">
            <v>8.9562552443002499E-2</v>
          </cell>
          <cell r="Z24">
            <v>0.103102382202359</v>
          </cell>
        </row>
        <row r="25">
          <cell r="A25">
            <v>24</v>
          </cell>
          <cell r="B25">
            <v>0</v>
          </cell>
          <cell r="C25">
            <v>1.5092233281966501E-2</v>
          </cell>
          <cell r="D25">
            <v>0</v>
          </cell>
          <cell r="E25">
            <v>2.1624812048147701E-2</v>
          </cell>
          <cell r="F25">
            <v>7.7194997209098601E-2</v>
          </cell>
          <cell r="G25">
            <v>1.59922655976668E-2</v>
          </cell>
          <cell r="H25">
            <v>0</v>
          </cell>
          <cell r="I25">
            <v>3.0793390504525501E-3</v>
          </cell>
          <cell r="J25">
            <v>0</v>
          </cell>
          <cell r="K25">
            <v>3.8902227646749298E-2</v>
          </cell>
          <cell r="L25">
            <v>5.9111558604923099E-2</v>
          </cell>
          <cell r="M25">
            <v>9.8816604394401097E-3</v>
          </cell>
          <cell r="N25">
            <v>0</v>
          </cell>
          <cell r="O25">
            <v>0</v>
          </cell>
          <cell r="P25">
            <v>0</v>
          </cell>
          <cell r="Q25">
            <v>7.75721027372199E-2</v>
          </cell>
          <cell r="R25">
            <v>3.3480668000245697E-2</v>
          </cell>
          <cell r="S25">
            <v>0.14449337795214601</v>
          </cell>
          <cell r="T25">
            <v>1.2779924739137499E-2</v>
          </cell>
          <cell r="U25">
            <v>0</v>
          </cell>
          <cell r="V25">
            <v>0.113954239900008</v>
          </cell>
          <cell r="W25">
            <v>0.128812518194273</v>
          </cell>
          <cell r="X25">
            <v>7.24843829704271E-2</v>
          </cell>
          <cell r="Y25">
            <v>7.8444359574928305E-2</v>
          </cell>
          <cell r="Z25">
            <v>9.7099332053168605E-2</v>
          </cell>
        </row>
        <row r="26">
          <cell r="A26">
            <v>25</v>
          </cell>
          <cell r="B26">
            <v>0</v>
          </cell>
          <cell r="C26">
            <v>1.8377055198730501E-2</v>
          </cell>
          <cell r="D26">
            <v>0</v>
          </cell>
          <cell r="E26">
            <v>1.38029711814769E-2</v>
          </cell>
          <cell r="F26">
            <v>5.4904554113506601E-2</v>
          </cell>
          <cell r="G26">
            <v>1.6814093679632301E-2</v>
          </cell>
          <cell r="H26">
            <v>0</v>
          </cell>
          <cell r="I26">
            <v>3.1788389121213803E-2</v>
          </cell>
          <cell r="J26">
            <v>0</v>
          </cell>
          <cell r="K26">
            <v>2.3489266747425599E-2</v>
          </cell>
          <cell r="L26">
            <v>9.5257541857353106E-2</v>
          </cell>
          <cell r="M26">
            <v>3.93466892600507E-2</v>
          </cell>
          <cell r="N26">
            <v>0</v>
          </cell>
          <cell r="O26">
            <v>2.0613871971089399E-2</v>
          </cell>
          <cell r="P26">
            <v>0</v>
          </cell>
          <cell r="Q26">
            <v>3.2156109601032198E-2</v>
          </cell>
          <cell r="R26">
            <v>2.69727456342909E-2</v>
          </cell>
          <cell r="S26">
            <v>7.6910980552071004E-2</v>
          </cell>
          <cell r="T26">
            <v>3.3206056206822702E-2</v>
          </cell>
          <cell r="U26">
            <v>0</v>
          </cell>
          <cell r="V26">
            <v>0.119426643052833</v>
          </cell>
          <cell r="W26">
            <v>9.9438194857174894E-2</v>
          </cell>
          <cell r="X26">
            <v>0.100070793666358</v>
          </cell>
          <cell r="Y26">
            <v>9.0378518905616004E-2</v>
          </cell>
          <cell r="Z26">
            <v>0.107045524393321</v>
          </cell>
        </row>
        <row r="27">
          <cell r="A27">
            <v>26</v>
          </cell>
          <cell r="B27">
            <v>0</v>
          </cell>
          <cell r="C27">
            <v>2.1223656263924199E-2</v>
          </cell>
          <cell r="D27">
            <v>0</v>
          </cell>
          <cell r="E27">
            <v>7.9091910533745802E-3</v>
          </cell>
          <cell r="F27">
            <v>6.2010920451437697E-2</v>
          </cell>
          <cell r="G27">
            <v>2.5230860456259802E-2</v>
          </cell>
          <cell r="H27">
            <v>0</v>
          </cell>
          <cell r="I27">
            <v>3.9424550653838304E-3</v>
          </cell>
          <cell r="J27">
            <v>0</v>
          </cell>
          <cell r="K27">
            <v>2.81428672446946E-2</v>
          </cell>
          <cell r="L27">
            <v>5.3041036463129999E-2</v>
          </cell>
          <cell r="M27">
            <v>2.13770094593362E-2</v>
          </cell>
          <cell r="N27">
            <v>0</v>
          </cell>
          <cell r="O27">
            <v>2.6887926928906299E-2</v>
          </cell>
          <cell r="P27">
            <v>0</v>
          </cell>
          <cell r="Q27">
            <v>3.5117881749351001E-2</v>
          </cell>
          <cell r="R27">
            <v>2.66455436839356E-2</v>
          </cell>
          <cell r="S27">
            <v>7.8265081221815996E-2</v>
          </cell>
          <cell r="T27">
            <v>1.97344263440342E-2</v>
          </cell>
          <cell r="U27">
            <v>0</v>
          </cell>
          <cell r="V27">
            <v>0.10354833735317399</v>
          </cell>
          <cell r="W27">
            <v>0.12503312003039799</v>
          </cell>
          <cell r="X27">
            <v>0.15407693729813801</v>
          </cell>
          <cell r="Y27">
            <v>0.103604992839257</v>
          </cell>
          <cell r="Z27">
            <v>0.104207756093446</v>
          </cell>
        </row>
        <row r="28">
          <cell r="A28">
            <v>27</v>
          </cell>
          <cell r="B28">
            <v>0</v>
          </cell>
          <cell r="C28">
            <v>0</v>
          </cell>
          <cell r="D28">
            <v>2.56176215791881E-2</v>
          </cell>
          <cell r="E28">
            <v>2.2145423550096001E-2</v>
          </cell>
          <cell r="F28">
            <v>0</v>
          </cell>
          <cell r="G28">
            <v>2.0357067374577001E-2</v>
          </cell>
          <cell r="H28">
            <v>0</v>
          </cell>
          <cell r="I28">
            <v>0</v>
          </cell>
          <cell r="J28">
            <v>0</v>
          </cell>
          <cell r="K28">
            <v>5.9252652921871998E-2</v>
          </cell>
          <cell r="L28">
            <v>9.1900604557288906E-2</v>
          </cell>
          <cell r="M28">
            <v>0</v>
          </cell>
          <cell r="N28">
            <v>0</v>
          </cell>
          <cell r="O28">
            <v>0</v>
          </cell>
          <cell r="P28">
            <v>0</v>
          </cell>
          <cell r="Q28">
            <v>5.9594066373562002E-2</v>
          </cell>
          <cell r="R28">
            <v>6.2973362783146705E-2</v>
          </cell>
          <cell r="S28">
            <v>8.4062030411345107E-2</v>
          </cell>
          <cell r="T28">
            <v>1.9959912951182501E-2</v>
          </cell>
          <cell r="U28">
            <v>0</v>
          </cell>
          <cell r="V28">
            <v>7.69062831687813E-2</v>
          </cell>
          <cell r="W28">
            <v>0.15371966471805501</v>
          </cell>
          <cell r="X28">
            <v>0.15364069834147301</v>
          </cell>
          <cell r="Y28">
            <v>7.9790878454488595E-2</v>
          </cell>
          <cell r="Z28">
            <v>9.0079732814942304E-2</v>
          </cell>
        </row>
        <row r="29">
          <cell r="A29">
            <v>28</v>
          </cell>
          <cell r="B29">
            <v>0</v>
          </cell>
          <cell r="C29">
            <v>0</v>
          </cell>
          <cell r="D29">
            <v>0</v>
          </cell>
          <cell r="E29">
            <v>3.6672819012970197E-2</v>
          </cell>
          <cell r="F29">
            <v>8.1187289361078496E-2</v>
          </cell>
          <cell r="G29">
            <v>0</v>
          </cell>
          <cell r="H29">
            <v>0</v>
          </cell>
          <cell r="I29">
            <v>7.5263867571115804E-3</v>
          </cell>
          <cell r="J29">
            <v>0</v>
          </cell>
          <cell r="K29">
            <v>5.94591954388764E-2</v>
          </cell>
          <cell r="L29">
            <v>6.4679562418686096E-2</v>
          </cell>
          <cell r="M29">
            <v>1.8088490178694301E-2</v>
          </cell>
          <cell r="N29">
            <v>0</v>
          </cell>
          <cell r="O29">
            <v>0</v>
          </cell>
          <cell r="P29">
            <v>0</v>
          </cell>
          <cell r="Q29">
            <v>4.32800541130186E-2</v>
          </cell>
          <cell r="R29">
            <v>8.5336052798676093E-2</v>
          </cell>
          <cell r="S29">
            <v>9.8731097076328003E-2</v>
          </cell>
          <cell r="T29">
            <v>2.8209519214117899E-2</v>
          </cell>
          <cell r="U29">
            <v>0</v>
          </cell>
          <cell r="V29">
            <v>9.7850428419399504E-2</v>
          </cell>
          <cell r="W29">
            <v>8.5786007877174095E-2</v>
          </cell>
          <cell r="X29">
            <v>5.2689147645950403E-2</v>
          </cell>
          <cell r="Y29">
            <v>0.100951270161021</v>
          </cell>
          <cell r="Z29">
            <v>0.13955267952689501</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0051-BCA3-405F-B673-471E1D4EE818}">
  <dimension ref="A1:Q26"/>
  <sheetViews>
    <sheetView showGridLines="0" tabSelected="1" workbookViewId="0">
      <selection activeCell="N4" sqref="N4"/>
    </sheetView>
  </sheetViews>
  <sheetFormatPr baseColWidth="10" defaultRowHeight="14.5" x14ac:dyDescent="0.35"/>
  <cols>
    <col min="2" max="2" width="21.54296875" customWidth="1"/>
    <col min="11" max="11" width="13.7265625" bestFit="1" customWidth="1"/>
    <col min="16" max="16" width="16.26953125" customWidth="1"/>
    <col min="17" max="17" width="46.54296875" customWidth="1"/>
  </cols>
  <sheetData>
    <row r="1" spans="1:14" x14ac:dyDescent="0.35">
      <c r="A1">
        <v>3</v>
      </c>
    </row>
    <row r="2" spans="1:14" x14ac:dyDescent="0.35">
      <c r="B2" s="3" t="s">
        <v>0</v>
      </c>
      <c r="C2" s="3" t="s">
        <v>12</v>
      </c>
      <c r="D2" s="3" t="s">
        <v>13</v>
      </c>
      <c r="E2" s="3" t="s">
        <v>14</v>
      </c>
      <c r="F2" s="3" t="s">
        <v>15</v>
      </c>
      <c r="G2" s="3" t="s">
        <v>16</v>
      </c>
      <c r="H2" s="3" t="s">
        <v>17</v>
      </c>
      <c r="I2" s="3" t="s">
        <v>18</v>
      </c>
      <c r="J2" s="3" t="s">
        <v>19</v>
      </c>
      <c r="K2" s="3" t="s">
        <v>20</v>
      </c>
      <c r="L2" s="3" t="s">
        <v>21</v>
      </c>
      <c r="M2" s="3" t="s">
        <v>22</v>
      </c>
      <c r="N2" s="3" t="s">
        <v>24</v>
      </c>
    </row>
    <row r="3" spans="1:14" x14ac:dyDescent="0.35">
      <c r="B3" s="1" t="s">
        <v>1</v>
      </c>
      <c r="C3" s="6">
        <v>0</v>
      </c>
      <c r="D3" s="6">
        <v>1</v>
      </c>
      <c r="E3" s="6">
        <v>1</v>
      </c>
      <c r="F3" s="6">
        <v>1</v>
      </c>
      <c r="G3" s="6">
        <v>1</v>
      </c>
      <c r="H3" s="6">
        <v>1</v>
      </c>
      <c r="I3" s="6">
        <v>0</v>
      </c>
      <c r="J3" s="6">
        <v>0</v>
      </c>
      <c r="K3" s="6">
        <v>0</v>
      </c>
      <c r="L3" s="6">
        <v>0</v>
      </c>
      <c r="M3" s="6">
        <v>0</v>
      </c>
      <c r="N3" s="6">
        <v>0</v>
      </c>
    </row>
    <row r="4" spans="1:14" x14ac:dyDescent="0.35">
      <c r="B4" s="8" t="s">
        <v>30</v>
      </c>
      <c r="C4" s="9">
        <f>VLOOKUP($A$1,[9]resultados_proyectados_proporci!$A$1:$AA$29,MATCH(C$2,[9]resultados_proyectados_proporci!$A$1:$AA$1,0),FALSE)</f>
        <v>4.0522821568044397E-2</v>
      </c>
      <c r="D4" s="9">
        <f>VLOOKUP($A$1,[9]resultados_proyectados_proporci!$A$1:$AA$29,MATCH(D$2,[9]resultados_proyectados_proporci!$A$1:$AA$1,0),FALSE)</f>
        <v>5.9599368352705399E-2</v>
      </c>
      <c r="E4" s="9">
        <f>VLOOKUP($A$1,[9]resultados_proyectados_proporci!$A$1:$AA$29,MATCH(E$2,[9]resultados_proyectados_proporci!$A$1:$AA$1,0),FALSE)</f>
        <v>4.1118011508756498E-2</v>
      </c>
      <c r="F4" s="9">
        <f>VLOOKUP($A$1,[9]resultados_proyectados_proporci!$A$1:$AA$29,MATCH(F$2,[9]resultados_proyectados_proporci!$A$1:$AA$1,0),FALSE)</f>
        <v>2.1149993118280402E-2</v>
      </c>
      <c r="G4" s="9">
        <f>VLOOKUP($A$1,[9]resultados_proyectados_proporci!$A$1:$AA$29,MATCH(G$2,[9]resultados_proyectados_proporci!$A$1:$AA$1,0),FALSE)</f>
        <v>6.4078789910033296E-2</v>
      </c>
      <c r="H4" s="9">
        <f>VLOOKUP($A$1,[9]resultados_proyectados_proporci!$A$1:$AA$29,MATCH(H$2,[9]resultados_proyectados_proporci!$A$1:$AA$1,0),FALSE)</f>
        <v>1.8014870818042001E-2</v>
      </c>
      <c r="I4" s="9">
        <f>VLOOKUP($A$1,[9]resultados_proyectados_proporci!$A$1:$AA$29,MATCH(I$2,[9]resultados_proyectados_proporci!$A$1:$AA$1,0),FALSE)</f>
        <v>5.1747378905375799E-2</v>
      </c>
      <c r="J4" s="9">
        <f>VLOOKUP($A$1,[9]resultados_proyectados_proporci!$A$1:$AA$29,MATCH(J$2,[9]resultados_proyectados_proporci!$A$1:$AA$1,0),FALSE)</f>
        <v>5.6727432425191397E-2</v>
      </c>
      <c r="K4" s="9">
        <f>VLOOKUP($A$1,[9]resultados_proyectados_proporci!$A$1:$AA$29,MATCH(K$2,[9]resultados_proyectados_proporci!$A$1:$AA$1,0),FALSE)</f>
        <v>0.10062807510424999</v>
      </c>
      <c r="L4" s="9">
        <f>VLOOKUP($A$1,[9]resultados_proyectados_proporci!$A$1:$AA$29,MATCH(L$2,[9]resultados_proyectados_proporci!$A$1:$AA$1,0),FALSE)</f>
        <v>4.2768048228771401E-2</v>
      </c>
      <c r="M4" s="9">
        <f>VLOOKUP($A$1,[9]resultados_proyectados_proporci!$A$1:$AA$29,MATCH(M$2,[9]resultados_proyectados_proporci!$A$1:$AA$1,0),FALSE)</f>
        <v>4.5295898179968999E-2</v>
      </c>
      <c r="N4" s="9">
        <f>VLOOKUP($A$1,[9]resultados_proyectados_proporci!$A$1:$AA$29,MATCH(N$2,[9]resultados_proyectados_proporci!$A$1:$AA$1,0),FALSE)</f>
        <v>4.0721393322315502E-2</v>
      </c>
    </row>
    <row r="5" spans="1:14" x14ac:dyDescent="0.35">
      <c r="B5" s="1" t="s">
        <v>2</v>
      </c>
      <c r="C5" s="7">
        <f>VLOOKUP($A$1,[1]resultados_integracion_partido_!$A$1:$AA$29,MATCH(C$2,[1]resultados_integracion_partido_!$A$1:$AA$1,0),FALSE)</f>
        <v>0</v>
      </c>
      <c r="D5" s="7">
        <f>VLOOKUP($A$1,[1]resultados_integracion_partido_!$A$1:$AA$29,MATCH(D$2,[1]resultados_integracion_partido_!$A$1:$AA$1,0),FALSE)</f>
        <v>1</v>
      </c>
      <c r="E5" s="7">
        <f>VLOOKUP($A$1,[1]resultados_integracion_partido_!$A$1:$AA$29,MATCH(E$2,[1]resultados_integracion_partido_!$A$1:$AA$1,0),FALSE)</f>
        <v>0</v>
      </c>
      <c r="F5" s="7">
        <f>VLOOKUP($A$1,[1]resultados_integracion_partido_!$A$1:$AA$29,MATCH(F$2,[1]resultados_integracion_partido_!$A$1:$AA$1,0),FALSE)</f>
        <v>0</v>
      </c>
      <c r="G5" s="7">
        <f>VLOOKUP($A$1,[1]resultados_integracion_partido_!$A$1:$AA$29,MATCH(G$2,[1]resultados_integracion_partido_!$A$1:$AA$1,0),FALSE)</f>
        <v>1</v>
      </c>
      <c r="H5" s="7">
        <f>VLOOKUP($A$1,[1]resultados_integracion_partido_!$A$1:$AA$29,MATCH(H$2,[1]resultados_integracion_partido_!$A$1:$AA$1,0),FALSE)</f>
        <v>0</v>
      </c>
      <c r="I5" s="7">
        <f>VLOOKUP($A$1,[1]resultados_integracion_partido_!$A$1:$AA$29,MATCH(I$2,[1]resultados_integracion_partido_!$A$1:$AA$1,0),FALSE)</f>
        <v>1</v>
      </c>
      <c r="J5" s="7">
        <f>VLOOKUP($A$1,[1]resultados_integracion_partido_!$A$1:$AA$29,MATCH(J$2,[1]resultados_integracion_partido_!$A$1:$AA$1,0),FALSE)</f>
        <v>1</v>
      </c>
      <c r="K5" s="7">
        <f>VLOOKUP($A$1,[1]resultados_integracion_partido_!$A$1:$AA$29,MATCH(K$2,[1]resultados_integracion_partido_!$A$1:$AA$1,0),FALSE)</f>
        <v>1</v>
      </c>
      <c r="L5" s="7">
        <f>VLOOKUP($A$1,[1]resultados_integracion_partido_!$A$1:$AA$29,MATCH(L$2,[1]resultados_integracion_partido_!$A$1:$AA$1,0),FALSE)</f>
        <v>0</v>
      </c>
      <c r="M5" s="7">
        <f>VLOOKUP($A$1,[1]resultados_integracion_partido_!$A$1:$AA$29,MATCH(M$2,[1]resultados_integracion_partido_!$A$1:$AA$1,0),FALSE)</f>
        <v>0</v>
      </c>
      <c r="N5" s="7">
        <f>VLOOKUP($A$1,[1]resultados_integracion_partido_!$A$1:$AA$29,MATCH(N$2,[1]resultados_integracion_partido_!$A$1:$AA$1,0),FALSE)</f>
        <v>0</v>
      </c>
    </row>
    <row r="6" spans="1:14" x14ac:dyDescent="0.35">
      <c r="B6" s="1" t="s">
        <v>3</v>
      </c>
      <c r="C6" s="7">
        <f>VLOOKUP($A$1,[2]resultados_integracion_partido_!$A$1:$AA$29,MATCH(C$2,[2]resultados_integracion_partido_!$A$1:$AA$1,0),FALSE)</f>
        <v>0</v>
      </c>
      <c r="D6" s="7">
        <f>VLOOKUP($A$1,[2]resultados_integracion_partido_!$A$1:$AA$29,MATCH(D$2,[2]resultados_integracion_partido_!$A$1:$AA$1,0),FALSE)</f>
        <v>1</v>
      </c>
      <c r="E6" s="7">
        <f>VLOOKUP($A$1,[2]resultados_integracion_partido_!$A$1:$AA$29,MATCH(E$2,[2]resultados_integracion_partido_!$A$1:$AA$1,0),FALSE)</f>
        <v>0</v>
      </c>
      <c r="F6" s="7">
        <f>VLOOKUP($A$1,[2]resultados_integracion_partido_!$A$1:$AA$29,MATCH(F$2,[2]resultados_integracion_partido_!$A$1:$AA$1,0),FALSE)</f>
        <v>0</v>
      </c>
      <c r="G6" s="7">
        <f>VLOOKUP($A$1,[2]resultados_integracion_partido_!$A$1:$AA$29,MATCH(G$2,[2]resultados_integracion_partido_!$A$1:$AA$1,0),FALSE)</f>
        <v>1</v>
      </c>
      <c r="H6" s="7">
        <f>VLOOKUP($A$1,[2]resultados_integracion_partido_!$A$1:$AA$29,MATCH(H$2,[2]resultados_integracion_partido_!$A$1:$AA$1,0),FALSE)</f>
        <v>0</v>
      </c>
      <c r="I6" s="7">
        <f>VLOOKUP($A$1,[2]resultados_integracion_partido_!$A$1:$AA$29,MATCH(I$2,[2]resultados_integracion_partido_!$A$1:$AA$1,0),FALSE)</f>
        <v>0</v>
      </c>
      <c r="J6" s="7">
        <f>VLOOKUP($A$1,[2]resultados_integracion_partido_!$A$1:$AA$29,MATCH(J$2,[2]resultados_integracion_partido_!$A$1:$AA$1,0),FALSE)</f>
        <v>0</v>
      </c>
      <c r="K6" s="7">
        <f>VLOOKUP($A$1,[2]resultados_integracion_partido_!$A$1:$AA$29,MATCH(K$2,[2]resultados_integracion_partido_!$A$1:$AA$1,0),FALSE)</f>
        <v>1</v>
      </c>
      <c r="L6" s="7">
        <f>VLOOKUP($A$1,[2]resultados_integracion_partido_!$A$1:$AA$29,MATCH(L$2,[2]resultados_integracion_partido_!$A$1:$AA$1,0),FALSE)</f>
        <v>1</v>
      </c>
      <c r="M6" s="7">
        <f>VLOOKUP($A$1,[2]resultados_integracion_partido_!$A$1:$AA$29,MATCH(M$2,[2]resultados_integracion_partido_!$A$1:$AA$1,0),FALSE)</f>
        <v>1</v>
      </c>
      <c r="N6" s="7">
        <f>VLOOKUP($A$1,[2]resultados_integracion_partido_!$A$1:$AA$29,MATCH(N$2,[2]resultados_integracion_partido_!$A$1:$AA$1,0),FALSE)</f>
        <v>0</v>
      </c>
    </row>
    <row r="7" spans="1:14" x14ac:dyDescent="0.35">
      <c r="B7" s="1" t="s">
        <v>4</v>
      </c>
      <c r="C7" s="7">
        <f>VLOOKUP($A$1,[3]resultados_integracion_partido_!$A$1:$AA$29,MATCH(C$2,[3]resultados_integracion_partido_!$A$1:$AA$1,0),FALSE)</f>
        <v>0</v>
      </c>
      <c r="D7" s="7">
        <f>VLOOKUP($A$1,[3]resultados_integracion_partido_!$A$1:$AA$29,MATCH(D$2,[3]resultados_integracion_partido_!$A$1:$AA$1,0),FALSE)</f>
        <v>1</v>
      </c>
      <c r="E7" s="7">
        <f>VLOOKUP($A$1,[3]resultados_integracion_partido_!$A$1:$AA$29,MATCH(E$2,[3]resultados_integracion_partido_!$A$1:$AA$1,0),FALSE)</f>
        <v>0</v>
      </c>
      <c r="F7" s="7">
        <f>VLOOKUP($A$1,[3]resultados_integracion_partido_!$A$1:$AA$29,MATCH(F$2,[3]resultados_integracion_partido_!$A$1:$AA$1,0),FALSE)</f>
        <v>0</v>
      </c>
      <c r="G7" s="7">
        <f>VLOOKUP($A$1,[3]resultados_integracion_partido_!$A$1:$AA$29,MATCH(G$2,[3]resultados_integracion_partido_!$A$1:$AA$1,0),FALSE)</f>
        <v>1</v>
      </c>
      <c r="H7" s="7">
        <f>VLOOKUP($A$1,[3]resultados_integracion_partido_!$A$1:$AA$29,MATCH(H$2,[3]resultados_integracion_partido_!$A$1:$AA$1,0),FALSE)</f>
        <v>0</v>
      </c>
      <c r="I7" s="7">
        <f>VLOOKUP($A$1,[3]resultados_integracion_partido_!$A$1:$AA$29,MATCH(I$2,[3]resultados_integracion_partido_!$A$1:$AA$1,0),FALSE)</f>
        <v>1</v>
      </c>
      <c r="J7" s="7">
        <f>VLOOKUP($A$1,[3]resultados_integracion_partido_!$A$1:$AA$29,MATCH(J$2,[3]resultados_integracion_partido_!$A$1:$AA$1,0),FALSE)</f>
        <v>0</v>
      </c>
      <c r="K7" s="7">
        <f>VLOOKUP($A$1,[3]resultados_integracion_partido_!$A$1:$AA$29,MATCH(K$2,[3]resultados_integracion_partido_!$A$1:$AA$1,0),FALSE)</f>
        <v>1</v>
      </c>
      <c r="L7" s="7">
        <f>VLOOKUP($A$1,[3]resultados_integracion_partido_!$A$1:$AA$29,MATCH(L$2,[3]resultados_integracion_partido_!$A$1:$AA$1,0),FALSE)</f>
        <v>0</v>
      </c>
      <c r="M7" s="7">
        <f>VLOOKUP($A$1,[3]resultados_integracion_partido_!$A$1:$AA$29,MATCH(M$2,[3]resultados_integracion_partido_!$A$1:$AA$1,0),FALSE)</f>
        <v>1</v>
      </c>
      <c r="N7" s="7">
        <f>VLOOKUP($A$1,[3]resultados_integracion_partido_!$A$1:$AA$29,MATCH(N$2,[3]resultados_integracion_partido_!$A$1:$AA$1,0),FALSE)</f>
        <v>0</v>
      </c>
    </row>
    <row r="8" spans="1:14" x14ac:dyDescent="0.35">
      <c r="B8" s="1" t="s">
        <v>5</v>
      </c>
      <c r="C8" s="7">
        <f>VLOOKUP($A$1,[4]resultados_integracion_partido_!$A$1:$AA$29,MATCH(C$2,[4]resultados_integracion_partido_!$A$1:$AA$1,0),FALSE)</f>
        <v>0</v>
      </c>
      <c r="D8" s="7">
        <f>VLOOKUP($A$1,[4]resultados_integracion_partido_!$A$1:$AA$29,MATCH(D$2,[4]resultados_integracion_partido_!$A$1:$AA$1,0),FALSE)</f>
        <v>1</v>
      </c>
      <c r="E8" s="7">
        <f>VLOOKUP($A$1,[4]resultados_integracion_partido_!$A$1:$AA$29,MATCH(E$2,[4]resultados_integracion_partido_!$A$1:$AA$1,0),FALSE)</f>
        <v>0</v>
      </c>
      <c r="F8" s="7">
        <f>VLOOKUP($A$1,[4]resultados_integracion_partido_!$A$1:$AA$29,MATCH(F$2,[4]resultados_integracion_partido_!$A$1:$AA$1,0),FALSE)</f>
        <v>0</v>
      </c>
      <c r="G8" s="7">
        <f>VLOOKUP($A$1,[4]resultados_integracion_partido_!$A$1:$AA$29,MATCH(G$2,[4]resultados_integracion_partido_!$A$1:$AA$1,0),FALSE)</f>
        <v>0</v>
      </c>
      <c r="H8" s="7">
        <f>VLOOKUP($A$1,[4]resultados_integracion_partido_!$A$1:$AA$29,MATCH(H$2,[4]resultados_integracion_partido_!$A$1:$AA$1,0),FALSE)</f>
        <v>0</v>
      </c>
      <c r="I8" s="7">
        <f>VLOOKUP($A$1,[4]resultados_integracion_partido_!$A$1:$AA$29,MATCH(I$2,[4]resultados_integracion_partido_!$A$1:$AA$1,0),FALSE)</f>
        <v>1</v>
      </c>
      <c r="J8" s="7">
        <f>VLOOKUP($A$1,[4]resultados_integracion_partido_!$A$1:$AA$29,MATCH(J$2,[4]resultados_integracion_partido_!$A$1:$AA$1,0),FALSE)</f>
        <v>0</v>
      </c>
      <c r="K8" s="7">
        <f>VLOOKUP($A$1,[4]resultados_integracion_partido_!$A$1:$AA$29,MATCH(K$2,[4]resultados_integracion_partido_!$A$1:$AA$1,0),FALSE)</f>
        <v>1</v>
      </c>
      <c r="L8" s="7">
        <f>VLOOKUP($A$1,[4]resultados_integracion_partido_!$A$1:$AA$29,MATCH(L$2,[4]resultados_integracion_partido_!$A$1:$AA$1,0),FALSE)</f>
        <v>1</v>
      </c>
      <c r="M8" s="7">
        <f>VLOOKUP($A$1,[4]resultados_integracion_partido_!$A$1:$AA$29,MATCH(M$2,[4]resultados_integracion_partido_!$A$1:$AA$1,0),FALSE)</f>
        <v>0</v>
      </c>
      <c r="N8" s="7">
        <f>VLOOKUP($A$1,[4]resultados_integracion_partido_!$A$1:$AA$29,MATCH(N$2,[4]resultados_integracion_partido_!$A$1:$AA$1,0),FALSE)</f>
        <v>1</v>
      </c>
    </row>
    <row r="9" spans="1:14" x14ac:dyDescent="0.35">
      <c r="B9" s="1" t="s">
        <v>47</v>
      </c>
      <c r="C9" s="7">
        <f>VLOOKUP($A$1,[5]resultados_integracion_partido_!$A$1:$AA$29,MATCH(C$2,[5]resultados_integracion_partido_!$A$1:$AA$1,0),FALSE)</f>
        <v>0</v>
      </c>
      <c r="D9" s="7">
        <f>VLOOKUP($A$1,[5]resultados_integracion_partido_!$A$1:$AA$29,MATCH(D$2,[5]resultados_integracion_partido_!$A$1:$AA$1,0),FALSE)</f>
        <v>1</v>
      </c>
      <c r="E9" s="7">
        <f>VLOOKUP($A$1,[5]resultados_integracion_partido_!$A$1:$AA$29,MATCH(E$2,[5]resultados_integracion_partido_!$A$1:$AA$1,0),FALSE)</f>
        <v>0</v>
      </c>
      <c r="F9" s="7">
        <f>VLOOKUP($A$1,[5]resultados_integracion_partido_!$A$1:$AA$29,MATCH(F$2,[5]resultados_integracion_partido_!$A$1:$AA$1,0),FALSE)</f>
        <v>0</v>
      </c>
      <c r="G9" s="7">
        <f>VLOOKUP($A$1,[5]resultados_integracion_partido_!$A$1:$AA$29,MATCH(G$2,[5]resultados_integracion_partido_!$A$1:$AA$1,0),FALSE)</f>
        <v>1</v>
      </c>
      <c r="H9" s="7">
        <f>VLOOKUP($A$1,[5]resultados_integracion_partido_!$A$1:$AA$29,MATCH(H$2,[5]resultados_integracion_partido_!$A$1:$AA$1,0),FALSE)</f>
        <v>0</v>
      </c>
      <c r="I9" s="7">
        <f>VLOOKUP($A$1,[5]resultados_integracion_partido_!$A$1:$AA$29,MATCH(I$2,[5]resultados_integracion_partido_!$A$1:$AA$1,0),FALSE)</f>
        <v>1</v>
      </c>
      <c r="J9" s="7">
        <f>VLOOKUP($A$1,[5]resultados_integracion_partido_!$A$1:$AA$29,MATCH(J$2,[5]resultados_integracion_partido_!$A$1:$AA$1,0),FALSE)</f>
        <v>0</v>
      </c>
      <c r="K9" s="7">
        <f>VLOOKUP($A$1,[5]resultados_integracion_partido_!$A$1:$AA$29,MATCH(K$2,[5]resultados_integracion_partido_!$A$1:$AA$1,0),FALSE)</f>
        <v>1</v>
      </c>
      <c r="L9" s="7">
        <f>VLOOKUP($A$1,[5]resultados_integracion_partido_!$A$1:$AA$29,MATCH(L$2,[5]resultados_integracion_partido_!$A$1:$AA$1,0),FALSE)</f>
        <v>0</v>
      </c>
      <c r="M9" s="7">
        <f>VLOOKUP($A$1,[5]resultados_integracion_partido_!$A$1:$AA$29,MATCH(M$2,[5]resultados_integracion_partido_!$A$1:$AA$1,0),FALSE)</f>
        <v>1</v>
      </c>
      <c r="N9" s="7">
        <f>VLOOKUP($A$1,[5]resultados_integracion_partido_!$A$1:$AA$29,MATCH(N$2,[5]resultados_integracion_partido_!$A$1:$AA$1,0),FALSE)</f>
        <v>0</v>
      </c>
    </row>
    <row r="10" spans="1:14" x14ac:dyDescent="0.35">
      <c r="B10" s="1" t="s">
        <v>48</v>
      </c>
      <c r="C10" s="7">
        <f>VLOOKUP($A$1,[6]resultados_integracion_partido_!$A$1:$AA$29,MATCH(C$2,[6]resultados_integracion_partido_!$A$1:$AA$1,0),FALSE)</f>
        <v>0</v>
      </c>
      <c r="D10" s="7">
        <f>VLOOKUP($A$1,[6]resultados_integracion_partido_!$A$1:$AA$29,MATCH(D$2,[6]resultados_integracion_partido_!$A$1:$AA$1,0),FALSE)</f>
        <v>1</v>
      </c>
      <c r="E10" s="7">
        <f>VLOOKUP($A$1,[6]resultados_integracion_partido_!$A$1:$AA$29,MATCH(E$2,[6]resultados_integracion_partido_!$A$1:$AA$1,0),FALSE)</f>
        <v>0</v>
      </c>
      <c r="F10" s="7">
        <f>VLOOKUP($A$1,[6]resultados_integracion_partido_!$A$1:$AA$29,MATCH(F$2,[6]resultados_integracion_partido_!$A$1:$AA$1,0),FALSE)</f>
        <v>0</v>
      </c>
      <c r="G10" s="7">
        <f>VLOOKUP($A$1,[6]resultados_integracion_partido_!$A$1:$AA$29,MATCH(G$2,[6]resultados_integracion_partido_!$A$1:$AA$1,0),FALSE)</f>
        <v>1</v>
      </c>
      <c r="H10" s="7">
        <f>VLOOKUP($A$1,[6]resultados_integracion_partido_!$A$1:$AA$29,MATCH(H$2,[6]resultados_integracion_partido_!$A$1:$AA$1,0),FALSE)</f>
        <v>0</v>
      </c>
      <c r="I10" s="7">
        <f>VLOOKUP($A$1,[6]resultados_integracion_partido_!$A$1:$AA$29,MATCH(I$2,[6]resultados_integracion_partido_!$A$1:$AA$1,0),FALSE)</f>
        <v>1</v>
      </c>
      <c r="J10" s="7">
        <f>VLOOKUP($A$1,[6]resultados_integracion_partido_!$A$1:$AA$29,MATCH(J$2,[6]resultados_integracion_partido_!$A$1:$AA$1,0),FALSE)</f>
        <v>0</v>
      </c>
      <c r="K10" s="7">
        <f>VLOOKUP($A$1,[6]resultados_integracion_partido_!$A$1:$AA$29,MATCH(K$2,[6]resultados_integracion_partido_!$A$1:$AA$1,0),FALSE)</f>
        <v>1</v>
      </c>
      <c r="L10" s="7">
        <f>VLOOKUP($A$1,[6]resultados_integracion_partido_!$A$1:$AA$29,MATCH(L$2,[6]resultados_integracion_partido_!$A$1:$AA$1,0),FALSE)</f>
        <v>0</v>
      </c>
      <c r="M10" s="7">
        <f>VLOOKUP($A$1,[6]resultados_integracion_partido_!$A$1:$AA$29,MATCH(M$2,[6]resultados_integracion_partido_!$A$1:$AA$1,0),FALSE)</f>
        <v>1</v>
      </c>
      <c r="N10" s="7">
        <f>VLOOKUP($A$1,[6]resultados_integracion_partido_!$A$1:$AA$29,MATCH(N$2,[6]resultados_integracion_partido_!$A$1:$AA$1,0),FALSE)</f>
        <v>0</v>
      </c>
    </row>
    <row r="11" spans="1:14" x14ac:dyDescent="0.35">
      <c r="B11" s="1" t="s">
        <v>49</v>
      </c>
      <c r="C11" s="7">
        <f>VLOOKUP($A$1,[7]resultados_integracion_partido_!$A$1:$AA$29,MATCH(C$2,[7]resultados_integracion_partido_!$A$1:$AA$1,0),FALSE)</f>
        <v>0</v>
      </c>
      <c r="D11" s="7">
        <f>VLOOKUP($A$1,[7]resultados_integracion_partido_!$A$1:$AA$29,MATCH(D$2,[7]resultados_integracion_partido_!$A$1:$AA$1,0),FALSE)</f>
        <v>1</v>
      </c>
      <c r="E11" s="7">
        <f>VLOOKUP($A$1,[7]resultados_integracion_partido_!$A$1:$AA$29,MATCH(E$2,[7]resultados_integracion_partido_!$A$1:$AA$1,0),FALSE)</f>
        <v>0</v>
      </c>
      <c r="F11" s="7">
        <f>VLOOKUP($A$1,[7]resultados_integracion_partido_!$A$1:$AA$29,MATCH(F$2,[7]resultados_integracion_partido_!$A$1:$AA$1,0),FALSE)</f>
        <v>0</v>
      </c>
      <c r="G11" s="7">
        <f>VLOOKUP($A$1,[7]resultados_integracion_partido_!$A$1:$AA$29,MATCH(G$2,[7]resultados_integracion_partido_!$A$1:$AA$1,0),FALSE)</f>
        <v>1</v>
      </c>
      <c r="H11" s="7">
        <f>VLOOKUP($A$1,[7]resultados_integracion_partido_!$A$1:$AA$29,MATCH(H$2,[7]resultados_integracion_partido_!$A$1:$AA$1,0),FALSE)</f>
        <v>0</v>
      </c>
      <c r="I11" s="7">
        <f>VLOOKUP($A$1,[7]resultados_integracion_partido_!$A$1:$AA$29,MATCH(I$2,[7]resultados_integracion_partido_!$A$1:$AA$1,0),FALSE)</f>
        <v>1</v>
      </c>
      <c r="J11" s="7">
        <f>VLOOKUP($A$1,[7]resultados_integracion_partido_!$A$1:$AA$29,MATCH(J$2,[7]resultados_integracion_partido_!$A$1:$AA$1,0),FALSE)</f>
        <v>0</v>
      </c>
      <c r="K11" s="7">
        <f>VLOOKUP($A$1,[7]resultados_integracion_partido_!$A$1:$AA$29,MATCH(K$2,[7]resultados_integracion_partido_!$A$1:$AA$1,0),FALSE)</f>
        <v>1</v>
      </c>
      <c r="L11" s="7">
        <f>VLOOKUP($A$1,[7]resultados_integracion_partido_!$A$1:$AA$29,MATCH(L$2,[7]resultados_integracion_partido_!$A$1:$AA$1,0),FALSE)</f>
        <v>0</v>
      </c>
      <c r="M11" s="7">
        <f>VLOOKUP($A$1,[7]resultados_integracion_partido_!$A$1:$AA$29,MATCH(M$2,[7]resultados_integracion_partido_!$A$1:$AA$1,0),FALSE)</f>
        <v>0</v>
      </c>
      <c r="N11" s="7">
        <f>VLOOKUP($A$1,[7]resultados_integracion_partido_!$A$1:$AA$29,MATCH(N$2,[7]resultados_integracion_partido_!$A$1:$AA$1,0),FALSE)</f>
        <v>1</v>
      </c>
    </row>
    <row r="12" spans="1:14" x14ac:dyDescent="0.35">
      <c r="B12" s="1" t="s">
        <v>50</v>
      </c>
      <c r="C12" s="7">
        <f>VLOOKUP($A$1,[8]resultados_integracion_partido_!$A$1:$AA$29,MATCH(C$2,[8]resultados_integracion_partido_!$A$1:$AA$1,0),FALSE)</f>
        <v>0</v>
      </c>
      <c r="D12" s="7">
        <f>VLOOKUP($A$1,[8]resultados_integracion_partido_!$A$1:$AA$29,MATCH(D$2,[8]resultados_integracion_partido_!$A$1:$AA$1,0),FALSE)</f>
        <v>1</v>
      </c>
      <c r="E12" s="7">
        <f>VLOOKUP($A$1,[8]resultados_integracion_partido_!$A$1:$AA$29,MATCH(E$2,[8]resultados_integracion_partido_!$A$1:$AA$1,0),FALSE)</f>
        <v>0</v>
      </c>
      <c r="F12" s="7">
        <f>VLOOKUP($A$1,[8]resultados_integracion_partido_!$A$1:$AA$29,MATCH(F$2,[8]resultados_integracion_partido_!$A$1:$AA$1,0),FALSE)</f>
        <v>0</v>
      </c>
      <c r="G12" s="7">
        <f>VLOOKUP($A$1,[8]resultados_integracion_partido_!$A$1:$AA$29,MATCH(G$2,[8]resultados_integracion_partido_!$A$1:$AA$1,0),FALSE)</f>
        <v>1</v>
      </c>
      <c r="H12" s="7">
        <f>VLOOKUP($A$1,[8]resultados_integracion_partido_!$A$1:$AA$29,MATCH(H$2,[8]resultados_integracion_partido_!$A$1:$AA$1,0),FALSE)</f>
        <v>0</v>
      </c>
      <c r="I12" s="7">
        <f>VLOOKUP($A$1,[8]resultados_integracion_partido_!$A$1:$AA$29,MATCH(I$2,[8]resultados_integracion_partido_!$A$1:$AA$1,0),FALSE)</f>
        <v>1</v>
      </c>
      <c r="J12" s="7">
        <f>VLOOKUP($A$1,[8]resultados_integracion_partido_!$A$1:$AA$29,MATCH(J$2,[8]resultados_integracion_partido_!$A$1:$AA$1,0),FALSE)</f>
        <v>0</v>
      </c>
      <c r="K12" s="7">
        <f>VLOOKUP($A$1,[8]resultados_integracion_partido_!$A$1:$AA$29,MATCH(K$2,[8]resultados_integracion_partido_!$A$1:$AA$1,0),FALSE)</f>
        <v>1</v>
      </c>
      <c r="L12" s="7">
        <f>VLOOKUP($A$1,[8]resultados_integracion_partido_!$A$1:$AA$29,MATCH(L$2,[8]resultados_integracion_partido_!$A$1:$AA$1,0),FALSE)</f>
        <v>0</v>
      </c>
      <c r="M12" s="7">
        <f>VLOOKUP($A$1,[8]resultados_integracion_partido_!$A$1:$AA$29,MATCH(M$2,[8]resultados_integracion_partido_!$A$1:$AA$1,0),FALSE)</f>
        <v>1</v>
      </c>
      <c r="N12" s="7">
        <f>VLOOKUP($A$1,[8]resultados_integracion_partido_!$A$1:$AA$29,MATCH(N$2,[8]resultados_integracion_partido_!$A$1:$AA$1,0),FALSE)</f>
        <v>0</v>
      </c>
    </row>
    <row r="13" spans="1:14" ht="15" thickBot="1" x14ac:dyDescent="0.4"/>
    <row r="14" spans="1:14" ht="14.5" customHeight="1" x14ac:dyDescent="0.35">
      <c r="B14" s="12" t="s">
        <v>33</v>
      </c>
      <c r="C14" s="13"/>
      <c r="D14" s="13"/>
      <c r="E14" s="13"/>
      <c r="F14" s="13"/>
      <c r="G14" s="13"/>
      <c r="H14" s="13"/>
      <c r="I14" s="13"/>
      <c r="J14" s="13"/>
      <c r="K14" s="13"/>
      <c r="L14" s="13"/>
      <c r="M14" s="13"/>
      <c r="N14" s="14"/>
    </row>
    <row r="15" spans="1:14" x14ac:dyDescent="0.35">
      <c r="B15" s="15"/>
      <c r="C15" s="16"/>
      <c r="D15" s="16"/>
      <c r="E15" s="16"/>
      <c r="F15" s="16"/>
      <c r="G15" s="16"/>
      <c r="H15" s="16"/>
      <c r="I15" s="16"/>
      <c r="J15" s="16"/>
      <c r="K15" s="16"/>
      <c r="L15" s="16"/>
      <c r="M15" s="16"/>
      <c r="N15" s="17"/>
    </row>
    <row r="16" spans="1:14" x14ac:dyDescent="0.35">
      <c r="B16" s="15"/>
      <c r="C16" s="16"/>
      <c r="D16" s="16"/>
      <c r="E16" s="16"/>
      <c r="F16" s="16"/>
      <c r="G16" s="16"/>
      <c r="H16" s="16"/>
      <c r="I16" s="16"/>
      <c r="J16" s="16"/>
      <c r="K16" s="16"/>
      <c r="L16" s="16"/>
      <c r="M16" s="16"/>
      <c r="N16" s="17"/>
    </row>
    <row r="17" spans="2:17" x14ac:dyDescent="0.35">
      <c r="B17" s="15"/>
      <c r="C17" s="16"/>
      <c r="D17" s="16"/>
      <c r="E17" s="16"/>
      <c r="F17" s="16"/>
      <c r="G17" s="16"/>
      <c r="H17" s="16"/>
      <c r="I17" s="16"/>
      <c r="J17" s="16"/>
      <c r="K17" s="16"/>
      <c r="L17" s="16"/>
      <c r="M17" s="16"/>
      <c r="N17" s="17"/>
    </row>
    <row r="18" spans="2:17" x14ac:dyDescent="0.35">
      <c r="B18" s="15"/>
      <c r="C18" s="16"/>
      <c r="D18" s="16"/>
      <c r="E18" s="16"/>
      <c r="F18" s="16"/>
      <c r="G18" s="16"/>
      <c r="H18" s="16"/>
      <c r="I18" s="16"/>
      <c r="J18" s="16"/>
      <c r="K18" s="16"/>
      <c r="L18" s="16"/>
      <c r="M18" s="16"/>
      <c r="N18" s="17"/>
      <c r="P18" s="3" t="s">
        <v>6</v>
      </c>
      <c r="Q18" s="3" t="s">
        <v>7</v>
      </c>
    </row>
    <row r="19" spans="2:17" ht="29" x14ac:dyDescent="0.35">
      <c r="B19" s="15"/>
      <c r="C19" s="16"/>
      <c r="D19" s="16"/>
      <c r="E19" s="16"/>
      <c r="F19" s="16"/>
      <c r="G19" s="16"/>
      <c r="H19" s="16"/>
      <c r="I19" s="16"/>
      <c r="J19" s="16"/>
      <c r="K19" s="16"/>
      <c r="L19" s="16"/>
      <c r="M19" s="16"/>
      <c r="N19" s="17"/>
      <c r="P19" s="1" t="s">
        <v>2</v>
      </c>
      <c r="Q19" s="2" t="s">
        <v>9</v>
      </c>
    </row>
    <row r="20" spans="2:17" ht="72.5" x14ac:dyDescent="0.35">
      <c r="B20" s="15"/>
      <c r="C20" s="16"/>
      <c r="D20" s="16"/>
      <c r="E20" s="16"/>
      <c r="F20" s="16"/>
      <c r="G20" s="16"/>
      <c r="H20" s="16"/>
      <c r="I20" s="16"/>
      <c r="J20" s="16"/>
      <c r="K20" s="16"/>
      <c r="L20" s="16"/>
      <c r="M20" s="16"/>
      <c r="N20" s="17"/>
      <c r="P20" s="1" t="s">
        <v>8</v>
      </c>
      <c r="Q20" s="2" t="s">
        <v>32</v>
      </c>
    </row>
    <row r="21" spans="2:17" ht="43.5" x14ac:dyDescent="0.35">
      <c r="B21" s="15"/>
      <c r="C21" s="16"/>
      <c r="D21" s="16"/>
      <c r="E21" s="16"/>
      <c r="F21" s="16"/>
      <c r="G21" s="16"/>
      <c r="H21" s="16"/>
      <c r="I21" s="16"/>
      <c r="J21" s="16"/>
      <c r="K21" s="16"/>
      <c r="L21" s="16"/>
      <c r="M21" s="16"/>
      <c r="N21" s="17"/>
      <c r="P21" s="1" t="s">
        <v>4</v>
      </c>
      <c r="Q21" s="2" t="s">
        <v>10</v>
      </c>
    </row>
    <row r="22" spans="2:17" ht="15" thickBot="1" x14ac:dyDescent="0.4">
      <c r="B22" s="18"/>
      <c r="C22" s="19"/>
      <c r="D22" s="19"/>
      <c r="E22" s="19"/>
      <c r="F22" s="19"/>
      <c r="G22" s="19"/>
      <c r="H22" s="19"/>
      <c r="I22" s="19"/>
      <c r="J22" s="19"/>
      <c r="K22" s="19"/>
      <c r="L22" s="19"/>
      <c r="M22" s="19"/>
      <c r="N22" s="20"/>
      <c r="P22" s="1" t="s">
        <v>5</v>
      </c>
      <c r="Q22" s="2" t="s">
        <v>11</v>
      </c>
    </row>
    <row r="23" spans="2:17" ht="29" x14ac:dyDescent="0.35">
      <c r="P23" s="2" t="s">
        <v>47</v>
      </c>
      <c r="Q23" s="2" t="s">
        <v>51</v>
      </c>
    </row>
    <row r="24" spans="2:17" ht="29" x14ac:dyDescent="0.35">
      <c r="P24" s="2" t="s">
        <v>48</v>
      </c>
      <c r="Q24" s="2" t="s">
        <v>52</v>
      </c>
    </row>
    <row r="25" spans="2:17" ht="29" x14ac:dyDescent="0.35">
      <c r="P25" s="2" t="s">
        <v>49</v>
      </c>
      <c r="Q25" s="2" t="s">
        <v>51</v>
      </c>
    </row>
    <row r="26" spans="2:17" ht="29" x14ac:dyDescent="0.35">
      <c r="P26" s="2" t="s">
        <v>50</v>
      </c>
      <c r="Q26" s="2" t="s">
        <v>52</v>
      </c>
    </row>
  </sheetData>
  <mergeCells count="1">
    <mergeCell ref="B14:N2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AE84-88BE-4054-A4FA-FD43BA13B48C}">
  <dimension ref="B2:N19"/>
  <sheetViews>
    <sheetView showGridLines="0" workbookViewId="0">
      <selection activeCell="B11" sqref="B11:K19"/>
    </sheetView>
  </sheetViews>
  <sheetFormatPr baseColWidth="10" defaultRowHeight="14.5" x14ac:dyDescent="0.35"/>
  <cols>
    <col min="6" max="6" width="13.81640625" customWidth="1"/>
    <col min="9" max="9" width="13.7265625" bestFit="1" customWidth="1"/>
    <col min="13" max="13" width="16.26953125" customWidth="1"/>
    <col min="14" max="14" width="46" customWidth="1"/>
  </cols>
  <sheetData>
    <row r="2" spans="2:14" x14ac:dyDescent="0.35">
      <c r="B2" s="3" t="s">
        <v>0</v>
      </c>
      <c r="C2" s="3" t="s">
        <v>12</v>
      </c>
      <c r="D2" s="3" t="s">
        <v>23</v>
      </c>
      <c r="E2" s="3" t="s">
        <v>24</v>
      </c>
      <c r="F2" s="3" t="s">
        <v>25</v>
      </c>
      <c r="G2" s="3" t="s">
        <v>16</v>
      </c>
      <c r="H2" s="3" t="s">
        <v>18</v>
      </c>
      <c r="I2" s="3" t="s">
        <v>20</v>
      </c>
      <c r="J2" s="3" t="s">
        <v>21</v>
      </c>
      <c r="K2" s="10" t="s">
        <v>22</v>
      </c>
    </row>
    <row r="3" spans="2:14" x14ac:dyDescent="0.35">
      <c r="B3" s="1" t="s">
        <v>1</v>
      </c>
      <c r="C3" s="6">
        <v>1</v>
      </c>
      <c r="D3" s="6">
        <v>1</v>
      </c>
      <c r="E3" s="6">
        <v>2</v>
      </c>
      <c r="F3" s="6">
        <v>1</v>
      </c>
      <c r="G3" s="6">
        <v>0</v>
      </c>
      <c r="H3" s="6">
        <v>1</v>
      </c>
      <c r="I3" s="6">
        <v>0</v>
      </c>
      <c r="J3" s="6">
        <v>1</v>
      </c>
      <c r="K3" s="6">
        <v>0</v>
      </c>
    </row>
    <row r="4" spans="2:14" x14ac:dyDescent="0.35">
      <c r="B4" s="8" t="s">
        <v>30</v>
      </c>
      <c r="C4" s="9">
        <v>4.9599576978936397E-2</v>
      </c>
      <c r="D4" s="9">
        <v>5.9686342743527403E-2</v>
      </c>
      <c r="E4" s="9">
        <v>9.4194357456371405E-2</v>
      </c>
      <c r="F4" s="9">
        <v>3.0279590484169699E-2</v>
      </c>
      <c r="G4" s="9">
        <v>8.6060848578824303E-2</v>
      </c>
      <c r="H4" s="9">
        <v>7.5992661442023005E-2</v>
      </c>
      <c r="I4" s="9">
        <v>8.3421611588776298E-2</v>
      </c>
      <c r="J4" s="9">
        <v>6.2097634261847799E-2</v>
      </c>
      <c r="K4" s="9">
        <v>3.1873065098439901E-2</v>
      </c>
    </row>
    <row r="5" spans="2:14" x14ac:dyDescent="0.35">
      <c r="B5" s="1" t="s">
        <v>2</v>
      </c>
      <c r="C5" s="7">
        <v>1</v>
      </c>
      <c r="D5" s="7">
        <v>1</v>
      </c>
      <c r="E5" s="7">
        <v>1</v>
      </c>
      <c r="F5" s="7">
        <v>0</v>
      </c>
      <c r="G5" s="7">
        <v>1</v>
      </c>
      <c r="H5" s="7">
        <v>1</v>
      </c>
      <c r="I5" s="7">
        <v>1</v>
      </c>
      <c r="J5" s="7">
        <v>1</v>
      </c>
      <c r="K5" s="7">
        <v>0</v>
      </c>
    </row>
    <row r="6" spans="2:14" x14ac:dyDescent="0.35">
      <c r="B6" s="1" t="s">
        <v>3</v>
      </c>
      <c r="C6" s="1">
        <v>0</v>
      </c>
      <c r="D6" s="1">
        <v>1</v>
      </c>
      <c r="E6" s="1">
        <v>1</v>
      </c>
      <c r="F6" s="1">
        <v>0</v>
      </c>
      <c r="G6" s="1">
        <v>1</v>
      </c>
      <c r="H6" s="1">
        <v>1</v>
      </c>
      <c r="I6" s="1">
        <v>1</v>
      </c>
      <c r="J6" s="1">
        <v>1</v>
      </c>
      <c r="K6" s="1">
        <v>1</v>
      </c>
    </row>
    <row r="7" spans="2:14" x14ac:dyDescent="0.35">
      <c r="B7" s="1" t="s">
        <v>4</v>
      </c>
      <c r="C7" s="1">
        <v>0</v>
      </c>
      <c r="D7" s="1">
        <v>1</v>
      </c>
      <c r="E7" s="1">
        <v>2</v>
      </c>
      <c r="F7" s="1">
        <v>0</v>
      </c>
      <c r="G7" s="1">
        <v>1</v>
      </c>
      <c r="H7" s="1">
        <v>1</v>
      </c>
      <c r="I7" s="1">
        <v>1</v>
      </c>
      <c r="J7" s="1">
        <v>1</v>
      </c>
      <c r="K7" s="1">
        <v>0</v>
      </c>
    </row>
    <row r="8" spans="2:14" x14ac:dyDescent="0.35">
      <c r="B8" s="1" t="s">
        <v>5</v>
      </c>
      <c r="C8" s="1">
        <v>1</v>
      </c>
      <c r="D8" s="1">
        <v>1</v>
      </c>
      <c r="E8" s="1">
        <v>1</v>
      </c>
      <c r="F8" s="1">
        <v>0</v>
      </c>
      <c r="G8" s="1">
        <v>1</v>
      </c>
      <c r="H8" s="1">
        <v>1</v>
      </c>
      <c r="I8" s="1">
        <v>1</v>
      </c>
      <c r="J8" s="1">
        <v>1</v>
      </c>
      <c r="K8" s="1">
        <v>0</v>
      </c>
    </row>
    <row r="10" spans="2:14" ht="15" thickBot="1" x14ac:dyDescent="0.4"/>
    <row r="11" spans="2:14" ht="14.5" customHeight="1" x14ac:dyDescent="0.35">
      <c r="B11" s="12" t="s">
        <v>34</v>
      </c>
      <c r="C11" s="13"/>
      <c r="D11" s="13"/>
      <c r="E11" s="13"/>
      <c r="F11" s="13"/>
      <c r="G11" s="13"/>
      <c r="H11" s="13"/>
      <c r="I11" s="13"/>
      <c r="J11" s="13"/>
      <c r="K11" s="14"/>
    </row>
    <row r="12" spans="2:14" x14ac:dyDescent="0.35">
      <c r="B12" s="15"/>
      <c r="C12" s="16"/>
      <c r="D12" s="16"/>
      <c r="E12" s="16"/>
      <c r="F12" s="16"/>
      <c r="G12" s="16"/>
      <c r="H12" s="16"/>
      <c r="I12" s="16"/>
      <c r="J12" s="16"/>
      <c r="K12" s="17"/>
    </row>
    <row r="13" spans="2:14" x14ac:dyDescent="0.35">
      <c r="B13" s="15"/>
      <c r="C13" s="16"/>
      <c r="D13" s="16"/>
      <c r="E13" s="16"/>
      <c r="F13" s="16"/>
      <c r="G13" s="16"/>
      <c r="H13" s="16"/>
      <c r="I13" s="16"/>
      <c r="J13" s="16"/>
      <c r="K13" s="17"/>
    </row>
    <row r="14" spans="2:14" x14ac:dyDescent="0.35">
      <c r="B14" s="15"/>
      <c r="C14" s="16"/>
      <c r="D14" s="16"/>
      <c r="E14" s="16"/>
      <c r="F14" s="16"/>
      <c r="G14" s="16"/>
      <c r="H14" s="16"/>
      <c r="I14" s="16"/>
      <c r="J14" s="16"/>
      <c r="K14" s="17"/>
    </row>
    <row r="15" spans="2:14" x14ac:dyDescent="0.35">
      <c r="B15" s="15"/>
      <c r="C15" s="16"/>
      <c r="D15" s="16"/>
      <c r="E15" s="16"/>
      <c r="F15" s="16"/>
      <c r="G15" s="16"/>
      <c r="H15" s="16"/>
      <c r="I15" s="16"/>
      <c r="J15" s="16"/>
      <c r="K15" s="17"/>
      <c r="M15" s="3" t="s">
        <v>6</v>
      </c>
      <c r="N15" s="3" t="s">
        <v>7</v>
      </c>
    </row>
    <row r="16" spans="2:14" ht="29" x14ac:dyDescent="0.35">
      <c r="B16" s="15"/>
      <c r="C16" s="16"/>
      <c r="D16" s="16"/>
      <c r="E16" s="16"/>
      <c r="F16" s="16"/>
      <c r="G16" s="16"/>
      <c r="H16" s="16"/>
      <c r="I16" s="16"/>
      <c r="J16" s="16"/>
      <c r="K16" s="17"/>
      <c r="M16" s="1" t="s">
        <v>2</v>
      </c>
      <c r="N16" s="2" t="s">
        <v>9</v>
      </c>
    </row>
    <row r="17" spans="2:14" ht="72.5" x14ac:dyDescent="0.35">
      <c r="B17" s="15"/>
      <c r="C17" s="16"/>
      <c r="D17" s="16"/>
      <c r="E17" s="16"/>
      <c r="F17" s="16"/>
      <c r="G17" s="16"/>
      <c r="H17" s="16"/>
      <c r="I17" s="16"/>
      <c r="J17" s="16"/>
      <c r="K17" s="17"/>
      <c r="M17" s="1" t="s">
        <v>8</v>
      </c>
      <c r="N17" s="2" t="s">
        <v>32</v>
      </c>
    </row>
    <row r="18" spans="2:14" ht="43.5" x14ac:dyDescent="0.35">
      <c r="B18" s="15"/>
      <c r="C18" s="16"/>
      <c r="D18" s="16"/>
      <c r="E18" s="16"/>
      <c r="F18" s="16"/>
      <c r="G18" s="16"/>
      <c r="H18" s="16"/>
      <c r="I18" s="16"/>
      <c r="J18" s="16"/>
      <c r="K18" s="17"/>
      <c r="M18" s="1" t="s">
        <v>4</v>
      </c>
      <c r="N18" s="2" t="s">
        <v>10</v>
      </c>
    </row>
    <row r="19" spans="2:14" ht="15" thickBot="1" x14ac:dyDescent="0.4">
      <c r="B19" s="18"/>
      <c r="C19" s="19"/>
      <c r="D19" s="19"/>
      <c r="E19" s="19"/>
      <c r="F19" s="19"/>
      <c r="G19" s="19"/>
      <c r="H19" s="19"/>
      <c r="I19" s="19"/>
      <c r="J19" s="19"/>
      <c r="K19" s="20"/>
      <c r="M19" s="1" t="s">
        <v>5</v>
      </c>
      <c r="N19" s="2" t="s">
        <v>11</v>
      </c>
    </row>
  </sheetData>
  <mergeCells count="1">
    <mergeCell ref="B11:K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733F-34D0-4D88-A6B5-E28376F26D12}">
  <dimension ref="B2:O19"/>
  <sheetViews>
    <sheetView showGridLines="0" workbookViewId="0">
      <selection activeCell="B20" sqref="B20"/>
    </sheetView>
  </sheetViews>
  <sheetFormatPr baseColWidth="10" defaultRowHeight="14.5" x14ac:dyDescent="0.35"/>
  <cols>
    <col min="10" max="10" width="13.7265625" bestFit="1" customWidth="1"/>
    <col min="14" max="14" width="16.26953125" customWidth="1"/>
    <col min="15" max="15" width="46" customWidth="1"/>
  </cols>
  <sheetData>
    <row r="2" spans="2:15" x14ac:dyDescent="0.35">
      <c r="B2" s="3" t="s">
        <v>0</v>
      </c>
      <c r="C2" s="3" t="s">
        <v>12</v>
      </c>
      <c r="D2" s="3" t="s">
        <v>15</v>
      </c>
      <c r="E2" s="3" t="s">
        <v>26</v>
      </c>
      <c r="F2" s="3" t="s">
        <v>23</v>
      </c>
      <c r="G2" s="3" t="s">
        <v>16</v>
      </c>
      <c r="H2" s="3" t="s">
        <v>24</v>
      </c>
      <c r="I2" s="3" t="s">
        <v>18</v>
      </c>
      <c r="J2" s="3" t="s">
        <v>20</v>
      </c>
      <c r="K2" s="3" t="s">
        <v>21</v>
      </c>
      <c r="L2" s="10" t="s">
        <v>22</v>
      </c>
    </row>
    <row r="3" spans="2:15" x14ac:dyDescent="0.35">
      <c r="B3" s="1" t="s">
        <v>1</v>
      </c>
      <c r="C3" s="6">
        <v>2</v>
      </c>
      <c r="D3" s="6">
        <v>1</v>
      </c>
      <c r="E3" s="6">
        <v>1</v>
      </c>
      <c r="F3" s="6">
        <v>1</v>
      </c>
      <c r="G3" s="6">
        <v>2</v>
      </c>
      <c r="H3" s="6">
        <v>0</v>
      </c>
      <c r="I3" s="6">
        <v>0</v>
      </c>
      <c r="J3" s="6">
        <v>1</v>
      </c>
      <c r="K3" s="6">
        <v>0</v>
      </c>
      <c r="L3" s="6">
        <v>0</v>
      </c>
    </row>
    <row r="4" spans="2:15" x14ac:dyDescent="0.35">
      <c r="B4" s="8" t="s">
        <v>30</v>
      </c>
      <c r="C4" s="9">
        <v>6.2941095030019795E-2</v>
      </c>
      <c r="D4" s="9">
        <v>3.8308716431753598E-2</v>
      </c>
      <c r="E4" s="9">
        <v>1.36732424297681E-2</v>
      </c>
      <c r="F4" s="9">
        <v>5.2548699142516801E-2</v>
      </c>
      <c r="G4" s="9">
        <v>0.12758916451114</v>
      </c>
      <c r="H4" s="9">
        <v>5.7315902270788102E-2</v>
      </c>
      <c r="I4" s="9">
        <v>5.8652272476570601E-2</v>
      </c>
      <c r="J4" s="9">
        <v>0.134431413732786</v>
      </c>
      <c r="K4" s="9">
        <v>4.7125833226401202E-2</v>
      </c>
      <c r="L4" s="9">
        <v>4.1141855036052999E-2</v>
      </c>
    </row>
    <row r="5" spans="2:15" x14ac:dyDescent="0.35">
      <c r="B5" s="1" t="s">
        <v>2</v>
      </c>
      <c r="C5" s="7">
        <v>1</v>
      </c>
      <c r="D5" s="7">
        <v>0</v>
      </c>
      <c r="E5" s="7">
        <v>0</v>
      </c>
      <c r="F5" s="7">
        <v>1</v>
      </c>
      <c r="G5" s="7">
        <v>2</v>
      </c>
      <c r="H5" s="7">
        <v>1</v>
      </c>
      <c r="I5" s="7">
        <v>1</v>
      </c>
      <c r="J5" s="7">
        <v>2</v>
      </c>
      <c r="K5" s="7">
        <v>0</v>
      </c>
      <c r="L5" s="7">
        <v>0</v>
      </c>
    </row>
    <row r="6" spans="2:15" x14ac:dyDescent="0.35">
      <c r="B6" s="1" t="s">
        <v>3</v>
      </c>
      <c r="C6" s="1">
        <v>1</v>
      </c>
      <c r="D6" s="1">
        <v>0</v>
      </c>
      <c r="E6" s="1">
        <v>0</v>
      </c>
      <c r="F6" s="1">
        <v>1</v>
      </c>
      <c r="G6" s="1">
        <v>2</v>
      </c>
      <c r="H6" s="1">
        <v>0</v>
      </c>
      <c r="I6" s="1">
        <v>1</v>
      </c>
      <c r="J6" s="1">
        <v>2</v>
      </c>
      <c r="K6" s="1">
        <v>1</v>
      </c>
      <c r="L6" s="1">
        <v>0</v>
      </c>
    </row>
    <row r="7" spans="2:15" x14ac:dyDescent="0.35">
      <c r="B7" s="1" t="s">
        <v>4</v>
      </c>
      <c r="C7" s="1">
        <v>1</v>
      </c>
      <c r="D7" s="1">
        <v>0</v>
      </c>
      <c r="E7" s="1">
        <v>0</v>
      </c>
      <c r="F7" s="1">
        <v>1</v>
      </c>
      <c r="G7" s="1">
        <v>2</v>
      </c>
      <c r="H7" s="1">
        <v>0</v>
      </c>
      <c r="I7" s="1">
        <v>1</v>
      </c>
      <c r="J7" s="1">
        <v>2</v>
      </c>
      <c r="K7" s="1">
        <v>1</v>
      </c>
      <c r="L7" s="1">
        <v>0</v>
      </c>
    </row>
    <row r="8" spans="2:15" x14ac:dyDescent="0.35">
      <c r="B8" s="1" t="s">
        <v>5</v>
      </c>
      <c r="C8" s="1">
        <v>1</v>
      </c>
      <c r="D8" s="1">
        <v>0</v>
      </c>
      <c r="E8" s="1">
        <v>0</v>
      </c>
      <c r="F8" s="1">
        <v>1</v>
      </c>
      <c r="G8" s="1">
        <v>2</v>
      </c>
      <c r="H8" s="1">
        <v>1</v>
      </c>
      <c r="I8" s="1">
        <v>0</v>
      </c>
      <c r="J8" s="1">
        <v>2</v>
      </c>
      <c r="K8" s="1">
        <v>1</v>
      </c>
      <c r="L8" s="1">
        <v>0</v>
      </c>
    </row>
    <row r="10" spans="2:15" ht="15" thickBot="1" x14ac:dyDescent="0.4"/>
    <row r="11" spans="2:15" ht="14.5" customHeight="1" x14ac:dyDescent="0.35">
      <c r="B11" s="21" t="s">
        <v>35</v>
      </c>
      <c r="C11" s="22"/>
      <c r="D11" s="22"/>
      <c r="E11" s="22"/>
      <c r="F11" s="22"/>
      <c r="G11" s="22"/>
      <c r="H11" s="22"/>
      <c r="I11" s="22"/>
      <c r="J11" s="22"/>
      <c r="K11" s="23"/>
      <c r="L11" s="11"/>
    </row>
    <row r="12" spans="2:15" x14ac:dyDescent="0.35">
      <c r="B12" s="24"/>
      <c r="C12" s="16"/>
      <c r="D12" s="16"/>
      <c r="E12" s="16"/>
      <c r="F12" s="16"/>
      <c r="G12" s="16"/>
      <c r="H12" s="16"/>
      <c r="I12" s="16"/>
      <c r="J12" s="16"/>
      <c r="K12" s="25"/>
      <c r="L12" s="11"/>
    </row>
    <row r="13" spans="2:15" x14ac:dyDescent="0.35">
      <c r="B13" s="24"/>
      <c r="C13" s="16"/>
      <c r="D13" s="16"/>
      <c r="E13" s="16"/>
      <c r="F13" s="16"/>
      <c r="G13" s="16"/>
      <c r="H13" s="16"/>
      <c r="I13" s="16"/>
      <c r="J13" s="16"/>
      <c r="K13" s="25"/>
      <c r="L13" s="11"/>
    </row>
    <row r="14" spans="2:15" x14ac:dyDescent="0.35">
      <c r="B14" s="24"/>
      <c r="C14" s="16"/>
      <c r="D14" s="16"/>
      <c r="E14" s="16"/>
      <c r="F14" s="16"/>
      <c r="G14" s="16"/>
      <c r="H14" s="16"/>
      <c r="I14" s="16"/>
      <c r="J14" s="16"/>
      <c r="K14" s="25"/>
      <c r="L14" s="11"/>
    </row>
    <row r="15" spans="2:15" x14ac:dyDescent="0.35">
      <c r="B15" s="24"/>
      <c r="C15" s="16"/>
      <c r="D15" s="16"/>
      <c r="E15" s="16"/>
      <c r="F15" s="16"/>
      <c r="G15" s="16"/>
      <c r="H15" s="16"/>
      <c r="I15" s="16"/>
      <c r="J15" s="16"/>
      <c r="K15" s="25"/>
      <c r="L15" s="11"/>
      <c r="N15" s="3" t="s">
        <v>6</v>
      </c>
      <c r="O15" s="3" t="s">
        <v>7</v>
      </c>
    </row>
    <row r="16" spans="2:15" ht="29" x14ac:dyDescent="0.35">
      <c r="B16" s="24"/>
      <c r="C16" s="16"/>
      <c r="D16" s="16"/>
      <c r="E16" s="16"/>
      <c r="F16" s="16"/>
      <c r="G16" s="16"/>
      <c r="H16" s="16"/>
      <c r="I16" s="16"/>
      <c r="J16" s="16"/>
      <c r="K16" s="25"/>
      <c r="L16" s="11"/>
      <c r="N16" s="1" t="s">
        <v>2</v>
      </c>
      <c r="O16" s="2" t="s">
        <v>9</v>
      </c>
    </row>
    <row r="17" spans="2:15" ht="72.5" x14ac:dyDescent="0.35">
      <c r="B17" s="24"/>
      <c r="C17" s="16"/>
      <c r="D17" s="16"/>
      <c r="E17" s="16"/>
      <c r="F17" s="16"/>
      <c r="G17" s="16"/>
      <c r="H17" s="16"/>
      <c r="I17" s="16"/>
      <c r="J17" s="16"/>
      <c r="K17" s="25"/>
      <c r="L17" s="11"/>
      <c r="N17" s="1" t="s">
        <v>8</v>
      </c>
      <c r="O17" s="2" t="s">
        <v>32</v>
      </c>
    </row>
    <row r="18" spans="2:15" ht="43.5" x14ac:dyDescent="0.35">
      <c r="B18" s="24"/>
      <c r="C18" s="16"/>
      <c r="D18" s="16"/>
      <c r="E18" s="16"/>
      <c r="F18" s="16"/>
      <c r="G18" s="16"/>
      <c r="H18" s="16"/>
      <c r="I18" s="16"/>
      <c r="J18" s="16"/>
      <c r="K18" s="25"/>
      <c r="L18" s="11"/>
      <c r="N18" s="1" t="s">
        <v>4</v>
      </c>
      <c r="O18" s="2" t="s">
        <v>10</v>
      </c>
    </row>
    <row r="19" spans="2:15" ht="15" thickBot="1" x14ac:dyDescent="0.4">
      <c r="B19" s="26"/>
      <c r="C19" s="27"/>
      <c r="D19" s="27"/>
      <c r="E19" s="27"/>
      <c r="F19" s="27"/>
      <c r="G19" s="27"/>
      <c r="H19" s="27"/>
      <c r="I19" s="27"/>
      <c r="J19" s="27"/>
      <c r="K19" s="28"/>
      <c r="L19" s="11"/>
      <c r="N19" s="1" t="s">
        <v>5</v>
      </c>
      <c r="O19" s="2" t="s">
        <v>11</v>
      </c>
    </row>
  </sheetData>
  <mergeCells count="1">
    <mergeCell ref="B11:K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20F0-81EA-4B55-8BF5-5CBED46DDED6}">
  <dimension ref="B2:N19"/>
  <sheetViews>
    <sheetView showGridLines="0" workbookViewId="0">
      <selection activeCell="B20" sqref="B20"/>
    </sheetView>
  </sheetViews>
  <sheetFormatPr baseColWidth="10" defaultRowHeight="14.5" x14ac:dyDescent="0.35"/>
  <cols>
    <col min="10" max="10" width="13.7265625" bestFit="1" customWidth="1"/>
    <col min="13" max="13" width="16.26953125" customWidth="1"/>
    <col min="14" max="14" width="46.6328125" customWidth="1"/>
  </cols>
  <sheetData>
    <row r="2" spans="2:14" x14ac:dyDescent="0.35">
      <c r="B2" s="3" t="s">
        <v>0</v>
      </c>
      <c r="C2" s="3" t="s">
        <v>12</v>
      </c>
      <c r="D2" s="3" t="s">
        <v>22</v>
      </c>
      <c r="E2" s="3" t="s">
        <v>27</v>
      </c>
      <c r="F2" s="3" t="s">
        <v>23</v>
      </c>
      <c r="G2" s="3" t="s">
        <v>16</v>
      </c>
      <c r="H2" s="3" t="s">
        <v>24</v>
      </c>
      <c r="I2" s="3" t="s">
        <v>18</v>
      </c>
      <c r="J2" s="3" t="s">
        <v>20</v>
      </c>
      <c r="K2" s="3" t="s">
        <v>21</v>
      </c>
    </row>
    <row r="3" spans="2:14" x14ac:dyDescent="0.35">
      <c r="B3" s="1" t="s">
        <v>1</v>
      </c>
      <c r="C3" s="6">
        <v>2</v>
      </c>
      <c r="D3" s="6">
        <v>1</v>
      </c>
      <c r="E3" s="6">
        <v>1</v>
      </c>
      <c r="F3" s="6">
        <v>1</v>
      </c>
      <c r="G3" s="6">
        <v>1</v>
      </c>
      <c r="H3" s="6">
        <v>0</v>
      </c>
      <c r="I3" s="6">
        <v>1</v>
      </c>
      <c r="J3" s="6">
        <v>1</v>
      </c>
      <c r="K3" s="6">
        <v>0</v>
      </c>
    </row>
    <row r="4" spans="2:14" x14ac:dyDescent="0.35">
      <c r="B4" s="8" t="s">
        <v>31</v>
      </c>
      <c r="C4" s="9">
        <v>0.10632102419475301</v>
      </c>
      <c r="D4" s="9">
        <v>3.1633119654984297E-2</v>
      </c>
      <c r="E4" s="9">
        <v>1.74169764239126E-2</v>
      </c>
      <c r="F4" s="9">
        <v>3.3922124138666201E-2</v>
      </c>
      <c r="G4" s="9">
        <v>8.2037633222067197E-2</v>
      </c>
      <c r="H4" s="9">
        <v>6.7935580873816306E-2</v>
      </c>
      <c r="I4" s="9">
        <v>6.4161298755511006E-2</v>
      </c>
      <c r="J4" s="9">
        <v>0.149131756403687</v>
      </c>
      <c r="K4" s="9">
        <v>4.3067960734769199E-2</v>
      </c>
    </row>
    <row r="5" spans="2:14" x14ac:dyDescent="0.35">
      <c r="B5" s="1" t="s">
        <v>2</v>
      </c>
      <c r="C5" s="7">
        <v>2</v>
      </c>
      <c r="D5" s="7">
        <v>0</v>
      </c>
      <c r="E5" s="7">
        <v>0</v>
      </c>
      <c r="F5" s="7">
        <v>0</v>
      </c>
      <c r="G5" s="7">
        <v>1</v>
      </c>
      <c r="H5" s="7">
        <v>1</v>
      </c>
      <c r="I5" s="7">
        <v>1</v>
      </c>
      <c r="J5" s="7">
        <v>3</v>
      </c>
      <c r="K5" s="7">
        <v>0</v>
      </c>
    </row>
    <row r="6" spans="2:14" x14ac:dyDescent="0.35">
      <c r="B6" s="1" t="s">
        <v>3</v>
      </c>
      <c r="C6" s="1">
        <v>1</v>
      </c>
      <c r="D6" s="1">
        <v>0</v>
      </c>
      <c r="E6" s="1">
        <v>0</v>
      </c>
      <c r="F6" s="1">
        <v>1</v>
      </c>
      <c r="G6" s="1">
        <v>1</v>
      </c>
      <c r="H6" s="1">
        <v>1</v>
      </c>
      <c r="I6" s="1">
        <v>1</v>
      </c>
      <c r="J6" s="1">
        <v>2</v>
      </c>
      <c r="K6" s="1">
        <v>1</v>
      </c>
    </row>
    <row r="7" spans="2:14" x14ac:dyDescent="0.35">
      <c r="B7" s="1" t="s">
        <v>4</v>
      </c>
      <c r="C7" s="1">
        <v>2</v>
      </c>
      <c r="D7" s="1">
        <v>0</v>
      </c>
      <c r="E7" s="1">
        <v>0</v>
      </c>
      <c r="F7" s="1">
        <v>0</v>
      </c>
      <c r="G7" s="1">
        <v>1</v>
      </c>
      <c r="H7" s="1">
        <v>1</v>
      </c>
      <c r="I7" s="1">
        <v>1</v>
      </c>
      <c r="J7" s="1">
        <v>2</v>
      </c>
      <c r="K7" s="1">
        <v>1</v>
      </c>
    </row>
    <row r="8" spans="2:14" x14ac:dyDescent="0.35">
      <c r="B8" s="1" t="s">
        <v>5</v>
      </c>
      <c r="C8" s="1">
        <v>2</v>
      </c>
      <c r="D8" s="1">
        <v>0</v>
      </c>
      <c r="E8" s="1">
        <v>0</v>
      </c>
      <c r="F8" s="1">
        <v>0</v>
      </c>
      <c r="G8" s="1">
        <v>1</v>
      </c>
      <c r="H8" s="1">
        <v>1</v>
      </c>
      <c r="I8" s="1">
        <v>1</v>
      </c>
      <c r="J8" s="1">
        <v>2</v>
      </c>
      <c r="K8" s="1">
        <v>1</v>
      </c>
    </row>
    <row r="10" spans="2:14" ht="15" thickBot="1" x14ac:dyDescent="0.4"/>
    <row r="11" spans="2:14" ht="14.5" customHeight="1" x14ac:dyDescent="0.35">
      <c r="B11" s="21" t="s">
        <v>36</v>
      </c>
      <c r="C11" s="22"/>
      <c r="D11" s="22"/>
      <c r="E11" s="22"/>
      <c r="F11" s="22"/>
      <c r="G11" s="22"/>
      <c r="H11" s="22"/>
      <c r="I11" s="22"/>
      <c r="J11" s="22"/>
      <c r="K11" s="23"/>
    </row>
    <row r="12" spans="2:14" x14ac:dyDescent="0.35">
      <c r="B12" s="24"/>
      <c r="C12" s="16"/>
      <c r="D12" s="16"/>
      <c r="E12" s="16"/>
      <c r="F12" s="16"/>
      <c r="G12" s="16"/>
      <c r="H12" s="16"/>
      <c r="I12" s="16"/>
      <c r="J12" s="16"/>
      <c r="K12" s="25"/>
    </row>
    <row r="13" spans="2:14" x14ac:dyDescent="0.35">
      <c r="B13" s="24"/>
      <c r="C13" s="16"/>
      <c r="D13" s="16"/>
      <c r="E13" s="16"/>
      <c r="F13" s="16"/>
      <c r="G13" s="16"/>
      <c r="H13" s="16"/>
      <c r="I13" s="16"/>
      <c r="J13" s="16"/>
      <c r="K13" s="25"/>
    </row>
    <row r="14" spans="2:14" x14ac:dyDescent="0.35">
      <c r="B14" s="24"/>
      <c r="C14" s="16"/>
      <c r="D14" s="16"/>
      <c r="E14" s="16"/>
      <c r="F14" s="16"/>
      <c r="G14" s="16"/>
      <c r="H14" s="16"/>
      <c r="I14" s="16"/>
      <c r="J14" s="16"/>
      <c r="K14" s="25"/>
    </row>
    <row r="15" spans="2:14" x14ac:dyDescent="0.35">
      <c r="B15" s="24"/>
      <c r="C15" s="16"/>
      <c r="D15" s="16"/>
      <c r="E15" s="16"/>
      <c r="F15" s="16"/>
      <c r="G15" s="16"/>
      <c r="H15" s="16"/>
      <c r="I15" s="16"/>
      <c r="J15" s="16"/>
      <c r="K15" s="25"/>
      <c r="M15" s="3" t="s">
        <v>6</v>
      </c>
      <c r="N15" s="3" t="s">
        <v>7</v>
      </c>
    </row>
    <row r="16" spans="2:14" ht="29" x14ac:dyDescent="0.35">
      <c r="B16" s="24"/>
      <c r="C16" s="16"/>
      <c r="D16" s="16"/>
      <c r="E16" s="16"/>
      <c r="F16" s="16"/>
      <c r="G16" s="16"/>
      <c r="H16" s="16"/>
      <c r="I16" s="16"/>
      <c r="J16" s="16"/>
      <c r="K16" s="25"/>
      <c r="M16" s="1" t="s">
        <v>2</v>
      </c>
      <c r="N16" s="2" t="s">
        <v>9</v>
      </c>
    </row>
    <row r="17" spans="2:14" ht="72.5" x14ac:dyDescent="0.35">
      <c r="B17" s="24"/>
      <c r="C17" s="16"/>
      <c r="D17" s="16"/>
      <c r="E17" s="16"/>
      <c r="F17" s="16"/>
      <c r="G17" s="16"/>
      <c r="H17" s="16"/>
      <c r="I17" s="16"/>
      <c r="J17" s="16"/>
      <c r="K17" s="25"/>
      <c r="M17" s="1" t="s">
        <v>8</v>
      </c>
      <c r="N17" s="2" t="s">
        <v>32</v>
      </c>
    </row>
    <row r="18" spans="2:14" ht="43.5" x14ac:dyDescent="0.35">
      <c r="B18" s="24"/>
      <c r="C18" s="16"/>
      <c r="D18" s="16"/>
      <c r="E18" s="16"/>
      <c r="F18" s="16"/>
      <c r="G18" s="16"/>
      <c r="H18" s="16"/>
      <c r="I18" s="16"/>
      <c r="J18" s="16"/>
      <c r="K18" s="25"/>
      <c r="M18" s="1" t="s">
        <v>4</v>
      </c>
      <c r="N18" s="2" t="s">
        <v>10</v>
      </c>
    </row>
    <row r="19" spans="2:14" ht="15" thickBot="1" x14ac:dyDescent="0.4">
      <c r="B19" s="26"/>
      <c r="C19" s="27"/>
      <c r="D19" s="27"/>
      <c r="E19" s="27"/>
      <c r="F19" s="27"/>
      <c r="G19" s="27"/>
      <c r="H19" s="27"/>
      <c r="I19" s="27"/>
      <c r="J19" s="27"/>
      <c r="K19" s="28"/>
      <c r="M19" s="1" t="s">
        <v>5</v>
      </c>
      <c r="N19" s="2" t="s">
        <v>11</v>
      </c>
    </row>
  </sheetData>
  <mergeCells count="1">
    <mergeCell ref="B11:K1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F9B40-470A-4DE1-8AB1-26EEC2BE06FE}">
  <dimension ref="B2:M19"/>
  <sheetViews>
    <sheetView showGridLines="0" workbookViewId="0">
      <selection activeCell="B11" sqref="B11:J19"/>
    </sheetView>
  </sheetViews>
  <sheetFormatPr baseColWidth="10" defaultRowHeight="14.5" x14ac:dyDescent="0.35"/>
  <cols>
    <col min="9" max="9" width="13.7265625" bestFit="1" customWidth="1"/>
    <col min="12" max="12" width="16.26953125" customWidth="1"/>
    <col min="13" max="13" width="47.6328125" customWidth="1"/>
  </cols>
  <sheetData>
    <row r="2" spans="2:13" x14ac:dyDescent="0.35">
      <c r="B2" s="3" t="s">
        <v>0</v>
      </c>
      <c r="C2" s="3" t="s">
        <v>12</v>
      </c>
      <c r="D2" s="3" t="s">
        <v>17</v>
      </c>
      <c r="E2" s="3" t="s">
        <v>23</v>
      </c>
      <c r="F2" s="3" t="s">
        <v>16</v>
      </c>
      <c r="G2" s="3" t="s">
        <v>24</v>
      </c>
      <c r="H2" s="3" t="s">
        <v>18</v>
      </c>
      <c r="I2" s="3" t="s">
        <v>20</v>
      </c>
      <c r="J2" s="3" t="s">
        <v>21</v>
      </c>
    </row>
    <row r="3" spans="2:13" x14ac:dyDescent="0.35">
      <c r="B3" s="1" t="s">
        <v>1</v>
      </c>
      <c r="C3" s="6">
        <v>1</v>
      </c>
      <c r="D3" s="6">
        <v>1</v>
      </c>
      <c r="E3" s="6">
        <v>0</v>
      </c>
      <c r="F3" s="6">
        <v>1</v>
      </c>
      <c r="G3" s="6">
        <v>2</v>
      </c>
      <c r="H3" s="6">
        <v>1</v>
      </c>
      <c r="I3" s="6">
        <v>1</v>
      </c>
      <c r="J3" s="6">
        <v>1</v>
      </c>
    </row>
    <row r="4" spans="2:13" x14ac:dyDescent="0.35">
      <c r="B4" s="8" t="s">
        <v>30</v>
      </c>
      <c r="C4" s="9">
        <v>0.13627614290337101</v>
      </c>
      <c r="D4" s="9">
        <v>2.72845950211053E-2</v>
      </c>
      <c r="E4" s="9">
        <v>3.5764511084405697E-2</v>
      </c>
      <c r="F4" s="9">
        <v>7.61718777842878E-2</v>
      </c>
      <c r="G4" s="9">
        <v>5.6460011033798399E-2</v>
      </c>
      <c r="H4" s="9">
        <v>7.0833351152775295E-2</v>
      </c>
      <c r="I4" s="9">
        <v>0.13553111203297</v>
      </c>
      <c r="J4" s="9">
        <v>4.0266236719169797E-2</v>
      </c>
    </row>
    <row r="5" spans="2:13" x14ac:dyDescent="0.35">
      <c r="B5" s="1" t="s">
        <v>2</v>
      </c>
      <c r="C5" s="7">
        <v>3</v>
      </c>
      <c r="D5" s="7">
        <v>0</v>
      </c>
      <c r="E5" s="7">
        <v>0</v>
      </c>
      <c r="F5" s="7">
        <v>1</v>
      </c>
      <c r="G5" s="7">
        <v>1</v>
      </c>
      <c r="H5" s="7">
        <v>1</v>
      </c>
      <c r="I5" s="7">
        <v>2</v>
      </c>
      <c r="J5" s="7">
        <v>0</v>
      </c>
    </row>
    <row r="6" spans="2:13" x14ac:dyDescent="0.35">
      <c r="B6" s="1" t="s">
        <v>3</v>
      </c>
      <c r="C6" s="1">
        <v>2</v>
      </c>
      <c r="D6" s="1">
        <v>0</v>
      </c>
      <c r="E6" s="1">
        <v>1</v>
      </c>
      <c r="F6" s="1">
        <v>1</v>
      </c>
      <c r="G6" s="1">
        <v>0</v>
      </c>
      <c r="H6" s="1">
        <v>1</v>
      </c>
      <c r="I6" s="1">
        <v>2</v>
      </c>
      <c r="J6" s="1">
        <v>1</v>
      </c>
    </row>
    <row r="7" spans="2:13" x14ac:dyDescent="0.35">
      <c r="B7" s="1" t="s">
        <v>4</v>
      </c>
      <c r="C7" s="1">
        <v>2</v>
      </c>
      <c r="D7" s="1">
        <v>0</v>
      </c>
      <c r="E7" s="1">
        <v>0</v>
      </c>
      <c r="F7" s="1">
        <v>1</v>
      </c>
      <c r="G7" s="1">
        <v>1</v>
      </c>
      <c r="H7" s="1">
        <v>1</v>
      </c>
      <c r="I7" s="1">
        <v>2</v>
      </c>
      <c r="J7" s="1">
        <v>1</v>
      </c>
    </row>
    <row r="8" spans="2:13" x14ac:dyDescent="0.35">
      <c r="B8" s="1" t="s">
        <v>5</v>
      </c>
      <c r="C8" s="1">
        <v>2</v>
      </c>
      <c r="D8" s="1">
        <v>0</v>
      </c>
      <c r="E8" s="1">
        <v>0</v>
      </c>
      <c r="F8" s="1">
        <v>1</v>
      </c>
      <c r="G8" s="1">
        <v>1</v>
      </c>
      <c r="H8" s="1">
        <v>1</v>
      </c>
      <c r="I8" s="1">
        <v>2</v>
      </c>
      <c r="J8" s="1">
        <v>1</v>
      </c>
    </row>
    <row r="10" spans="2:13" ht="15" thickBot="1" x14ac:dyDescent="0.4"/>
    <row r="11" spans="2:13" ht="14.5" customHeight="1" x14ac:dyDescent="0.35">
      <c r="B11" s="21" t="s">
        <v>37</v>
      </c>
      <c r="C11" s="22"/>
      <c r="D11" s="22"/>
      <c r="E11" s="22"/>
      <c r="F11" s="22"/>
      <c r="G11" s="22"/>
      <c r="H11" s="22"/>
      <c r="I11" s="22"/>
      <c r="J11" s="23"/>
    </row>
    <row r="12" spans="2:13" x14ac:dyDescent="0.35">
      <c r="B12" s="24"/>
      <c r="C12" s="16"/>
      <c r="D12" s="16"/>
      <c r="E12" s="16"/>
      <c r="F12" s="16"/>
      <c r="G12" s="16"/>
      <c r="H12" s="16"/>
      <c r="I12" s="16"/>
      <c r="J12" s="25"/>
    </row>
    <row r="13" spans="2:13" x14ac:dyDescent="0.35">
      <c r="B13" s="24"/>
      <c r="C13" s="16"/>
      <c r="D13" s="16"/>
      <c r="E13" s="16"/>
      <c r="F13" s="16"/>
      <c r="G13" s="16"/>
      <c r="H13" s="16"/>
      <c r="I13" s="16"/>
      <c r="J13" s="25"/>
    </row>
    <row r="14" spans="2:13" x14ac:dyDescent="0.35">
      <c r="B14" s="24"/>
      <c r="C14" s="16"/>
      <c r="D14" s="16"/>
      <c r="E14" s="16"/>
      <c r="F14" s="16"/>
      <c r="G14" s="16"/>
      <c r="H14" s="16"/>
      <c r="I14" s="16"/>
      <c r="J14" s="25"/>
    </row>
    <row r="15" spans="2:13" x14ac:dyDescent="0.35">
      <c r="B15" s="24"/>
      <c r="C15" s="16"/>
      <c r="D15" s="16"/>
      <c r="E15" s="16"/>
      <c r="F15" s="16"/>
      <c r="G15" s="16"/>
      <c r="H15" s="16"/>
      <c r="I15" s="16"/>
      <c r="J15" s="25"/>
      <c r="L15" s="3" t="s">
        <v>6</v>
      </c>
      <c r="M15" s="3" t="s">
        <v>7</v>
      </c>
    </row>
    <row r="16" spans="2:13" ht="29" x14ac:dyDescent="0.35">
      <c r="B16" s="24"/>
      <c r="C16" s="16"/>
      <c r="D16" s="16"/>
      <c r="E16" s="16"/>
      <c r="F16" s="16"/>
      <c r="G16" s="16"/>
      <c r="H16" s="16"/>
      <c r="I16" s="16"/>
      <c r="J16" s="25"/>
      <c r="L16" s="1" t="s">
        <v>2</v>
      </c>
      <c r="M16" s="2" t="s">
        <v>9</v>
      </c>
    </row>
    <row r="17" spans="2:13" ht="72.5" x14ac:dyDescent="0.35">
      <c r="B17" s="24"/>
      <c r="C17" s="16"/>
      <c r="D17" s="16"/>
      <c r="E17" s="16"/>
      <c r="F17" s="16"/>
      <c r="G17" s="16"/>
      <c r="H17" s="16"/>
      <c r="I17" s="16"/>
      <c r="J17" s="25"/>
      <c r="L17" s="1" t="s">
        <v>8</v>
      </c>
      <c r="M17" s="2" t="s">
        <v>32</v>
      </c>
    </row>
    <row r="18" spans="2:13" ht="43.5" x14ac:dyDescent="0.35">
      <c r="B18" s="24"/>
      <c r="C18" s="16"/>
      <c r="D18" s="16"/>
      <c r="E18" s="16"/>
      <c r="F18" s="16"/>
      <c r="G18" s="16"/>
      <c r="H18" s="16"/>
      <c r="I18" s="16"/>
      <c r="J18" s="25"/>
      <c r="L18" s="1" t="s">
        <v>4</v>
      </c>
      <c r="M18" s="2" t="s">
        <v>10</v>
      </c>
    </row>
    <row r="19" spans="2:13" ht="15" thickBot="1" x14ac:dyDescent="0.4">
      <c r="B19" s="26"/>
      <c r="C19" s="27"/>
      <c r="D19" s="27"/>
      <c r="E19" s="27"/>
      <c r="F19" s="27"/>
      <c r="G19" s="27"/>
      <c r="H19" s="27"/>
      <c r="I19" s="27"/>
      <c r="J19" s="28"/>
      <c r="L19" s="1" t="s">
        <v>5</v>
      </c>
      <c r="M19" s="2" t="s">
        <v>11</v>
      </c>
    </row>
  </sheetData>
  <mergeCells count="1">
    <mergeCell ref="B11:J1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2506-0B9F-4B14-ADA0-702CD03037C2}">
  <dimension ref="B2:M19"/>
  <sheetViews>
    <sheetView showGridLines="0" workbookViewId="0">
      <selection activeCell="B11" sqref="B11:J19"/>
    </sheetView>
  </sheetViews>
  <sheetFormatPr baseColWidth="10" defaultRowHeight="14.5" x14ac:dyDescent="0.35"/>
  <cols>
    <col min="4" max="4" width="12" bestFit="1" customWidth="1"/>
    <col min="10" max="10" width="13.7265625" bestFit="1" customWidth="1"/>
    <col min="12" max="12" width="16.26953125" customWidth="1"/>
    <col min="13" max="13" width="46.08984375" customWidth="1"/>
  </cols>
  <sheetData>
    <row r="2" spans="2:13" x14ac:dyDescent="0.35">
      <c r="B2" s="3" t="s">
        <v>0</v>
      </c>
      <c r="C2" s="3" t="s">
        <v>12</v>
      </c>
      <c r="D2" s="3" t="s">
        <v>28</v>
      </c>
      <c r="E2" s="3" t="s">
        <v>15</v>
      </c>
      <c r="F2" s="3" t="s">
        <v>23</v>
      </c>
      <c r="G2" s="3" t="s">
        <v>16</v>
      </c>
      <c r="H2" s="3" t="s">
        <v>24</v>
      </c>
      <c r="I2" s="3" t="s">
        <v>18</v>
      </c>
      <c r="J2" s="3" t="s">
        <v>20</v>
      </c>
    </row>
    <row r="3" spans="2:13" x14ac:dyDescent="0.35">
      <c r="B3" s="1" t="s">
        <v>1</v>
      </c>
      <c r="C3" s="6">
        <v>2</v>
      </c>
      <c r="D3" s="6">
        <v>1</v>
      </c>
      <c r="E3" s="6">
        <v>0</v>
      </c>
      <c r="F3" s="6">
        <v>0</v>
      </c>
      <c r="G3" s="6">
        <v>1</v>
      </c>
      <c r="H3" s="6">
        <v>0</v>
      </c>
      <c r="I3" s="6">
        <v>2</v>
      </c>
      <c r="J3" s="6">
        <v>1</v>
      </c>
    </row>
    <row r="4" spans="2:13" x14ac:dyDescent="0.35">
      <c r="B4" s="8" t="s">
        <v>31</v>
      </c>
      <c r="C4" s="9">
        <v>7.3949613532640499E-2</v>
      </c>
      <c r="D4" s="9">
        <v>2.9427129981899801E-2</v>
      </c>
      <c r="E4" s="9">
        <v>4.2957096909597897E-2</v>
      </c>
      <c r="F4" s="9">
        <v>5.1966291383823103E-2</v>
      </c>
      <c r="G4" s="9">
        <v>8.96767362958487E-2</v>
      </c>
      <c r="H4" s="9">
        <v>6.4137807496210106E-2</v>
      </c>
      <c r="I4" s="9">
        <v>9.9126270957599502E-2</v>
      </c>
      <c r="J4" s="9">
        <v>9.84244537188292E-2</v>
      </c>
    </row>
    <row r="5" spans="2:13" x14ac:dyDescent="0.35">
      <c r="B5" s="1" t="s">
        <v>2</v>
      </c>
      <c r="C5" s="7">
        <v>1</v>
      </c>
      <c r="D5" s="7">
        <v>0</v>
      </c>
      <c r="E5" s="7">
        <v>0</v>
      </c>
      <c r="F5" s="7">
        <v>1</v>
      </c>
      <c r="G5" s="7">
        <v>1</v>
      </c>
      <c r="H5" s="7">
        <v>1</v>
      </c>
      <c r="I5" s="7">
        <v>2</v>
      </c>
      <c r="J5" s="7">
        <v>1</v>
      </c>
    </row>
    <row r="6" spans="2:13" x14ac:dyDescent="0.35">
      <c r="B6" s="1" t="s">
        <v>3</v>
      </c>
      <c r="C6" s="1">
        <v>1</v>
      </c>
      <c r="D6" s="1">
        <v>0</v>
      </c>
      <c r="E6" s="1">
        <v>1</v>
      </c>
      <c r="F6" s="1">
        <v>1</v>
      </c>
      <c r="G6" s="1">
        <v>1</v>
      </c>
      <c r="H6" s="1">
        <v>1</v>
      </c>
      <c r="I6" s="1">
        <v>1</v>
      </c>
      <c r="J6" s="1">
        <v>1</v>
      </c>
    </row>
    <row r="7" spans="2:13" x14ac:dyDescent="0.35">
      <c r="B7" s="1" t="s">
        <v>4</v>
      </c>
      <c r="C7" s="1">
        <v>1</v>
      </c>
      <c r="D7" s="1">
        <v>0</v>
      </c>
      <c r="E7" s="1">
        <v>1</v>
      </c>
      <c r="F7" s="1">
        <v>1</v>
      </c>
      <c r="G7" s="1">
        <v>1</v>
      </c>
      <c r="H7" s="1">
        <v>1</v>
      </c>
      <c r="I7" s="1">
        <v>1</v>
      </c>
      <c r="J7" s="1">
        <v>1</v>
      </c>
    </row>
    <row r="8" spans="2:13" x14ac:dyDescent="0.35">
      <c r="B8" s="1" t="s">
        <v>5</v>
      </c>
      <c r="C8" s="1">
        <v>1</v>
      </c>
      <c r="D8" s="1">
        <v>0</v>
      </c>
      <c r="E8" s="1">
        <v>1</v>
      </c>
      <c r="F8" s="1">
        <v>1</v>
      </c>
      <c r="G8" s="1">
        <v>1</v>
      </c>
      <c r="H8" s="1">
        <v>1</v>
      </c>
      <c r="I8" s="1">
        <v>1</v>
      </c>
      <c r="J8" s="1">
        <v>1</v>
      </c>
    </row>
    <row r="10" spans="2:13" ht="15" thickBot="1" x14ac:dyDescent="0.4"/>
    <row r="11" spans="2:13" ht="14.5" customHeight="1" x14ac:dyDescent="0.35">
      <c r="B11" s="21" t="s">
        <v>38</v>
      </c>
      <c r="C11" s="22"/>
      <c r="D11" s="22"/>
      <c r="E11" s="22"/>
      <c r="F11" s="22"/>
      <c r="G11" s="22"/>
      <c r="H11" s="22"/>
      <c r="I11" s="22"/>
      <c r="J11" s="23"/>
    </row>
    <row r="12" spans="2:13" x14ac:dyDescent="0.35">
      <c r="B12" s="24"/>
      <c r="C12" s="16"/>
      <c r="D12" s="16"/>
      <c r="E12" s="16"/>
      <c r="F12" s="16"/>
      <c r="G12" s="16"/>
      <c r="H12" s="16"/>
      <c r="I12" s="16"/>
      <c r="J12" s="25"/>
    </row>
    <row r="13" spans="2:13" x14ac:dyDescent="0.35">
      <c r="B13" s="24"/>
      <c r="C13" s="16"/>
      <c r="D13" s="16"/>
      <c r="E13" s="16"/>
      <c r="F13" s="16"/>
      <c r="G13" s="16"/>
      <c r="H13" s="16"/>
      <c r="I13" s="16"/>
      <c r="J13" s="25"/>
    </row>
    <row r="14" spans="2:13" x14ac:dyDescent="0.35">
      <c r="B14" s="24"/>
      <c r="C14" s="16"/>
      <c r="D14" s="16"/>
      <c r="E14" s="16"/>
      <c r="F14" s="16"/>
      <c r="G14" s="16"/>
      <c r="H14" s="16"/>
      <c r="I14" s="16"/>
      <c r="J14" s="25"/>
    </row>
    <row r="15" spans="2:13" x14ac:dyDescent="0.35">
      <c r="B15" s="24"/>
      <c r="C15" s="16"/>
      <c r="D15" s="16"/>
      <c r="E15" s="16"/>
      <c r="F15" s="16"/>
      <c r="G15" s="16"/>
      <c r="H15" s="16"/>
      <c r="I15" s="16"/>
      <c r="J15" s="25"/>
      <c r="L15" s="3" t="s">
        <v>6</v>
      </c>
      <c r="M15" s="3" t="s">
        <v>7</v>
      </c>
    </row>
    <row r="16" spans="2:13" ht="29" x14ac:dyDescent="0.35">
      <c r="B16" s="24"/>
      <c r="C16" s="16"/>
      <c r="D16" s="16"/>
      <c r="E16" s="16"/>
      <c r="F16" s="16"/>
      <c r="G16" s="16"/>
      <c r="H16" s="16"/>
      <c r="I16" s="16"/>
      <c r="J16" s="25"/>
      <c r="L16" s="1" t="s">
        <v>2</v>
      </c>
      <c r="M16" s="2" t="s">
        <v>9</v>
      </c>
    </row>
    <row r="17" spans="2:13" ht="72.5" x14ac:dyDescent="0.35">
      <c r="B17" s="24"/>
      <c r="C17" s="16"/>
      <c r="D17" s="16"/>
      <c r="E17" s="16"/>
      <c r="F17" s="16"/>
      <c r="G17" s="16"/>
      <c r="H17" s="16"/>
      <c r="I17" s="16"/>
      <c r="J17" s="25"/>
      <c r="L17" s="1" t="s">
        <v>8</v>
      </c>
      <c r="M17" s="2" t="s">
        <v>32</v>
      </c>
    </row>
    <row r="18" spans="2:13" ht="43.5" x14ac:dyDescent="0.35">
      <c r="B18" s="24"/>
      <c r="C18" s="16"/>
      <c r="D18" s="16"/>
      <c r="E18" s="16"/>
      <c r="F18" s="16"/>
      <c r="G18" s="16"/>
      <c r="H18" s="16"/>
      <c r="I18" s="16"/>
      <c r="J18" s="25"/>
      <c r="L18" s="1" t="s">
        <v>4</v>
      </c>
      <c r="M18" s="2" t="s">
        <v>10</v>
      </c>
    </row>
    <row r="19" spans="2:13" ht="15" thickBot="1" x14ac:dyDescent="0.4">
      <c r="B19" s="26"/>
      <c r="C19" s="27"/>
      <c r="D19" s="27"/>
      <c r="E19" s="27"/>
      <c r="F19" s="27"/>
      <c r="G19" s="27"/>
      <c r="H19" s="27"/>
      <c r="I19" s="27"/>
      <c r="J19" s="28"/>
      <c r="L19" s="1" t="s">
        <v>5</v>
      </c>
      <c r="M19" s="2" t="s">
        <v>11</v>
      </c>
    </row>
  </sheetData>
  <mergeCells count="1">
    <mergeCell ref="B11:J1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0C85-64F4-4D82-8FA2-89FE65C5C7BA}">
  <dimension ref="B2:M19"/>
  <sheetViews>
    <sheetView showGridLines="0" workbookViewId="0">
      <selection activeCell="B11" sqref="B11:J19"/>
    </sheetView>
  </sheetViews>
  <sheetFormatPr baseColWidth="10" defaultRowHeight="14.5" x14ac:dyDescent="0.35"/>
  <cols>
    <col min="4" max="4" width="12" bestFit="1" customWidth="1"/>
    <col min="10" max="10" width="13.7265625" bestFit="1" customWidth="1"/>
    <col min="12" max="12" width="16.26953125" customWidth="1"/>
    <col min="13" max="13" width="45.81640625" customWidth="1"/>
  </cols>
  <sheetData>
    <row r="2" spans="2:13" x14ac:dyDescent="0.35">
      <c r="B2" s="3" t="s">
        <v>0</v>
      </c>
      <c r="C2" s="3" t="s">
        <v>12</v>
      </c>
      <c r="D2" s="3" t="s">
        <v>26</v>
      </c>
      <c r="E2" s="3" t="s">
        <v>15</v>
      </c>
      <c r="F2" s="3" t="s">
        <v>23</v>
      </c>
      <c r="G2" s="3" t="s">
        <v>16</v>
      </c>
      <c r="H2" s="3" t="s">
        <v>24</v>
      </c>
      <c r="I2" s="3" t="s">
        <v>18</v>
      </c>
      <c r="J2" s="3" t="s">
        <v>20</v>
      </c>
    </row>
    <row r="3" spans="2:13" x14ac:dyDescent="0.35">
      <c r="B3" s="1" t="s">
        <v>1</v>
      </c>
      <c r="C3" s="6">
        <v>3</v>
      </c>
      <c r="D3" s="6">
        <v>2</v>
      </c>
      <c r="E3" s="6">
        <v>1</v>
      </c>
      <c r="F3" s="6">
        <v>0</v>
      </c>
      <c r="G3" s="6">
        <v>0</v>
      </c>
      <c r="H3" s="6">
        <v>1</v>
      </c>
      <c r="I3" s="6">
        <v>1</v>
      </c>
      <c r="J3" s="6">
        <v>0</v>
      </c>
    </row>
    <row r="4" spans="2:13" x14ac:dyDescent="0.35">
      <c r="B4" s="8" t="s">
        <v>31</v>
      </c>
      <c r="C4" s="9">
        <v>0.163303502227756</v>
      </c>
      <c r="D4" s="9">
        <v>2.9594081265245202E-3</v>
      </c>
      <c r="E4" s="9">
        <v>2.2206665096465499E-2</v>
      </c>
      <c r="F4" s="9">
        <v>4.7695675454088302E-2</v>
      </c>
      <c r="G4" s="9">
        <v>9.6289258764534202E-2</v>
      </c>
      <c r="H4" s="9">
        <v>7.7217426951008902E-2</v>
      </c>
      <c r="I4" s="9">
        <v>9.9310809368070102E-2</v>
      </c>
      <c r="J4" s="9">
        <v>0.109985256952011</v>
      </c>
    </row>
    <row r="5" spans="2:13" x14ac:dyDescent="0.35">
      <c r="B5" s="1" t="s">
        <v>2</v>
      </c>
      <c r="C5" s="7">
        <v>3</v>
      </c>
      <c r="D5" s="7">
        <v>0</v>
      </c>
      <c r="E5" s="7">
        <v>0</v>
      </c>
      <c r="F5" s="7">
        <v>0</v>
      </c>
      <c r="G5" s="7">
        <v>1</v>
      </c>
      <c r="H5" s="7">
        <v>1</v>
      </c>
      <c r="I5" s="7">
        <v>1</v>
      </c>
      <c r="J5" s="7">
        <v>2</v>
      </c>
    </row>
    <row r="6" spans="2:13" x14ac:dyDescent="0.35">
      <c r="B6" s="1" t="s">
        <v>3</v>
      </c>
      <c r="C6" s="1">
        <v>2</v>
      </c>
      <c r="D6" s="1">
        <v>0</v>
      </c>
      <c r="E6" s="1">
        <v>0</v>
      </c>
      <c r="F6" s="1">
        <v>1</v>
      </c>
      <c r="G6" s="1">
        <v>1</v>
      </c>
      <c r="H6" s="1">
        <v>1</v>
      </c>
      <c r="I6" s="1">
        <v>1</v>
      </c>
      <c r="J6" s="1">
        <v>2</v>
      </c>
    </row>
    <row r="7" spans="2:13" x14ac:dyDescent="0.35">
      <c r="B7" s="1" t="s">
        <v>4</v>
      </c>
      <c r="C7" s="1">
        <v>3</v>
      </c>
      <c r="D7" s="1">
        <v>0</v>
      </c>
      <c r="E7" s="1">
        <v>0</v>
      </c>
      <c r="F7" s="1">
        <v>0</v>
      </c>
      <c r="G7" s="1">
        <v>2</v>
      </c>
      <c r="H7" s="1">
        <v>1</v>
      </c>
      <c r="I7" s="1">
        <v>1</v>
      </c>
      <c r="J7" s="1">
        <v>1</v>
      </c>
    </row>
    <row r="8" spans="2:13" x14ac:dyDescent="0.35">
      <c r="B8" s="1" t="s">
        <v>5</v>
      </c>
      <c r="C8" s="1">
        <v>3</v>
      </c>
      <c r="D8" s="1">
        <v>0</v>
      </c>
      <c r="E8" s="1">
        <v>0</v>
      </c>
      <c r="F8" s="1">
        <v>1</v>
      </c>
      <c r="G8" s="1">
        <v>1</v>
      </c>
      <c r="H8" s="1">
        <v>1</v>
      </c>
      <c r="I8" s="1">
        <v>1</v>
      </c>
      <c r="J8" s="1">
        <v>1</v>
      </c>
    </row>
    <row r="10" spans="2:13" ht="15" thickBot="1" x14ac:dyDescent="0.4"/>
    <row r="11" spans="2:13" ht="14.5" customHeight="1" x14ac:dyDescent="0.35">
      <c r="B11" s="21" t="s">
        <v>39</v>
      </c>
      <c r="C11" s="22"/>
      <c r="D11" s="22"/>
      <c r="E11" s="22"/>
      <c r="F11" s="22"/>
      <c r="G11" s="22"/>
      <c r="H11" s="22"/>
      <c r="I11" s="22"/>
      <c r="J11" s="23"/>
    </row>
    <row r="12" spans="2:13" x14ac:dyDescent="0.35">
      <c r="B12" s="24"/>
      <c r="C12" s="16"/>
      <c r="D12" s="16"/>
      <c r="E12" s="16"/>
      <c r="F12" s="16"/>
      <c r="G12" s="16"/>
      <c r="H12" s="16"/>
      <c r="I12" s="16"/>
      <c r="J12" s="25"/>
    </row>
    <row r="13" spans="2:13" x14ac:dyDescent="0.35">
      <c r="B13" s="24"/>
      <c r="C13" s="16"/>
      <c r="D13" s="16"/>
      <c r="E13" s="16"/>
      <c r="F13" s="16"/>
      <c r="G13" s="16"/>
      <c r="H13" s="16"/>
      <c r="I13" s="16"/>
      <c r="J13" s="25"/>
    </row>
    <row r="14" spans="2:13" x14ac:dyDescent="0.35">
      <c r="B14" s="24"/>
      <c r="C14" s="16"/>
      <c r="D14" s="16"/>
      <c r="E14" s="16"/>
      <c r="F14" s="16"/>
      <c r="G14" s="16"/>
      <c r="H14" s="16"/>
      <c r="I14" s="16"/>
      <c r="J14" s="25"/>
    </row>
    <row r="15" spans="2:13" x14ac:dyDescent="0.35">
      <c r="B15" s="24"/>
      <c r="C15" s="16"/>
      <c r="D15" s="16"/>
      <c r="E15" s="16"/>
      <c r="F15" s="16"/>
      <c r="G15" s="16"/>
      <c r="H15" s="16"/>
      <c r="I15" s="16"/>
      <c r="J15" s="25"/>
      <c r="L15" s="3" t="s">
        <v>6</v>
      </c>
      <c r="M15" s="3" t="s">
        <v>7</v>
      </c>
    </row>
    <row r="16" spans="2:13" ht="29" x14ac:dyDescent="0.35">
      <c r="B16" s="24"/>
      <c r="C16" s="16"/>
      <c r="D16" s="16"/>
      <c r="E16" s="16"/>
      <c r="F16" s="16"/>
      <c r="G16" s="16"/>
      <c r="H16" s="16"/>
      <c r="I16" s="16"/>
      <c r="J16" s="25"/>
      <c r="L16" s="1" t="s">
        <v>2</v>
      </c>
      <c r="M16" s="2" t="s">
        <v>9</v>
      </c>
    </row>
    <row r="17" spans="2:13" ht="74" customHeight="1" x14ac:dyDescent="0.35">
      <c r="B17" s="24"/>
      <c r="C17" s="16"/>
      <c r="D17" s="16"/>
      <c r="E17" s="16"/>
      <c r="F17" s="16"/>
      <c r="G17" s="16"/>
      <c r="H17" s="16"/>
      <c r="I17" s="16"/>
      <c r="J17" s="25"/>
      <c r="L17" s="1" t="s">
        <v>8</v>
      </c>
      <c r="M17" s="2" t="s">
        <v>32</v>
      </c>
    </row>
    <row r="18" spans="2:13" ht="43.5" x14ac:dyDescent="0.35">
      <c r="B18" s="24"/>
      <c r="C18" s="16"/>
      <c r="D18" s="16"/>
      <c r="E18" s="16"/>
      <c r="F18" s="16"/>
      <c r="G18" s="16"/>
      <c r="H18" s="16"/>
      <c r="I18" s="16"/>
      <c r="J18" s="25"/>
      <c r="L18" s="1" t="s">
        <v>4</v>
      </c>
      <c r="M18" s="2" t="s">
        <v>10</v>
      </c>
    </row>
    <row r="19" spans="2:13" ht="15" thickBot="1" x14ac:dyDescent="0.4">
      <c r="B19" s="26"/>
      <c r="C19" s="27"/>
      <c r="D19" s="27"/>
      <c r="E19" s="27"/>
      <c r="F19" s="27"/>
      <c r="G19" s="27"/>
      <c r="H19" s="27"/>
      <c r="I19" s="27"/>
      <c r="J19" s="28"/>
      <c r="L19" s="1" t="s">
        <v>5</v>
      </c>
      <c r="M19" s="2" t="s">
        <v>11</v>
      </c>
    </row>
  </sheetData>
  <mergeCells count="1">
    <mergeCell ref="B11:J1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70FC-AD57-4C4E-AD9C-A3B1E85C5742}">
  <dimension ref="B2:K19"/>
  <sheetViews>
    <sheetView showGridLines="0" workbookViewId="0">
      <selection activeCell="B11" sqref="B11:H19"/>
    </sheetView>
  </sheetViews>
  <sheetFormatPr baseColWidth="10" defaultRowHeight="14.5" x14ac:dyDescent="0.35"/>
  <cols>
    <col min="8" max="8" width="13.7265625" bestFit="1" customWidth="1"/>
    <col min="10" max="10" width="16.26953125" customWidth="1"/>
    <col min="11" max="11" width="44.08984375" customWidth="1"/>
  </cols>
  <sheetData>
    <row r="2" spans="2:11" x14ac:dyDescent="0.35">
      <c r="B2" s="3" t="s">
        <v>0</v>
      </c>
      <c r="C2" s="3" t="s">
        <v>12</v>
      </c>
      <c r="D2" s="3" t="s">
        <v>23</v>
      </c>
      <c r="E2" s="3" t="s">
        <v>16</v>
      </c>
      <c r="F2" s="3" t="s">
        <v>24</v>
      </c>
      <c r="G2" s="3" t="s">
        <v>18</v>
      </c>
      <c r="H2" s="3" t="s">
        <v>20</v>
      </c>
    </row>
    <row r="3" spans="2:11" x14ac:dyDescent="0.35">
      <c r="B3" s="1" t="s">
        <v>1</v>
      </c>
      <c r="C3" s="6">
        <v>1</v>
      </c>
      <c r="D3" s="6">
        <v>1</v>
      </c>
      <c r="E3" s="6">
        <v>1</v>
      </c>
      <c r="F3" s="6">
        <v>1</v>
      </c>
      <c r="G3" s="6">
        <v>1</v>
      </c>
      <c r="H3" s="6">
        <v>0</v>
      </c>
    </row>
    <row r="4" spans="2:11" x14ac:dyDescent="0.35">
      <c r="B4" s="8" t="s">
        <v>31</v>
      </c>
      <c r="C4" s="9">
        <v>9.00018448886825E-2</v>
      </c>
      <c r="D4" s="9">
        <v>8.1340810594742699E-2</v>
      </c>
      <c r="E4" s="9">
        <v>9.1597802483492599E-2</v>
      </c>
      <c r="F4" s="9">
        <v>4.5900535827848601E-2</v>
      </c>
      <c r="G4" s="9">
        <v>0.100787999459421</v>
      </c>
      <c r="H4" s="9">
        <v>9.8800601411615993E-2</v>
      </c>
    </row>
    <row r="5" spans="2:11" x14ac:dyDescent="0.35">
      <c r="B5" s="1" t="s">
        <v>2</v>
      </c>
      <c r="C5" s="7">
        <v>1</v>
      </c>
      <c r="D5" s="7">
        <v>1</v>
      </c>
      <c r="E5" s="7">
        <v>1</v>
      </c>
      <c r="F5" s="7">
        <v>0</v>
      </c>
      <c r="G5" s="7">
        <v>1</v>
      </c>
      <c r="H5" s="7">
        <v>1</v>
      </c>
    </row>
    <row r="6" spans="2:11" x14ac:dyDescent="0.35">
      <c r="B6" s="1" t="s">
        <v>3</v>
      </c>
      <c r="C6" s="1">
        <v>1</v>
      </c>
      <c r="D6" s="1">
        <v>1</v>
      </c>
      <c r="E6" s="1">
        <v>1</v>
      </c>
      <c r="F6" s="1">
        <v>0</v>
      </c>
      <c r="G6" s="1">
        <v>1</v>
      </c>
      <c r="H6" s="1">
        <v>1</v>
      </c>
    </row>
    <row r="7" spans="2:11" x14ac:dyDescent="0.35">
      <c r="B7" s="1" t="s">
        <v>4</v>
      </c>
      <c r="C7" s="1">
        <v>1</v>
      </c>
      <c r="D7" s="1">
        <v>1</v>
      </c>
      <c r="E7" s="1">
        <v>1</v>
      </c>
      <c r="F7" s="1">
        <v>0</v>
      </c>
      <c r="G7" s="1">
        <v>1</v>
      </c>
      <c r="H7" s="1">
        <v>1</v>
      </c>
    </row>
    <row r="8" spans="2:11" x14ac:dyDescent="0.35">
      <c r="B8" s="1" t="s">
        <v>5</v>
      </c>
      <c r="C8" s="1">
        <v>1</v>
      </c>
      <c r="D8" s="1">
        <v>1</v>
      </c>
      <c r="E8" s="1">
        <v>1</v>
      </c>
      <c r="F8" s="1">
        <v>0</v>
      </c>
      <c r="G8" s="1">
        <v>1</v>
      </c>
      <c r="H8" s="1">
        <v>1</v>
      </c>
    </row>
    <row r="10" spans="2:11" ht="15" thickBot="1" x14ac:dyDescent="0.4"/>
    <row r="11" spans="2:11" ht="14.5" customHeight="1" x14ac:dyDescent="0.35">
      <c r="B11" s="21" t="s">
        <v>38</v>
      </c>
      <c r="C11" s="22"/>
      <c r="D11" s="22"/>
      <c r="E11" s="22"/>
      <c r="F11" s="22"/>
      <c r="G11" s="22"/>
      <c r="H11" s="23"/>
    </row>
    <row r="12" spans="2:11" x14ac:dyDescent="0.35">
      <c r="B12" s="24"/>
      <c r="C12" s="16"/>
      <c r="D12" s="16"/>
      <c r="E12" s="16"/>
      <c r="F12" s="16"/>
      <c r="G12" s="16"/>
      <c r="H12" s="25"/>
    </row>
    <row r="13" spans="2:11" x14ac:dyDescent="0.35">
      <c r="B13" s="24"/>
      <c r="C13" s="16"/>
      <c r="D13" s="16"/>
      <c r="E13" s="16"/>
      <c r="F13" s="16"/>
      <c r="G13" s="16"/>
      <c r="H13" s="25"/>
    </row>
    <row r="14" spans="2:11" x14ac:dyDescent="0.35">
      <c r="B14" s="24"/>
      <c r="C14" s="16"/>
      <c r="D14" s="16"/>
      <c r="E14" s="16"/>
      <c r="F14" s="16"/>
      <c r="G14" s="16"/>
      <c r="H14" s="25"/>
    </row>
    <row r="15" spans="2:11" x14ac:dyDescent="0.35">
      <c r="B15" s="24"/>
      <c r="C15" s="16"/>
      <c r="D15" s="16"/>
      <c r="E15" s="16"/>
      <c r="F15" s="16"/>
      <c r="G15" s="16"/>
      <c r="H15" s="25"/>
      <c r="J15" s="3" t="s">
        <v>6</v>
      </c>
      <c r="K15" s="3" t="s">
        <v>7</v>
      </c>
    </row>
    <row r="16" spans="2:11" ht="29" x14ac:dyDescent="0.35">
      <c r="B16" s="24"/>
      <c r="C16" s="16"/>
      <c r="D16" s="16"/>
      <c r="E16" s="16"/>
      <c r="F16" s="16"/>
      <c r="G16" s="16"/>
      <c r="H16" s="25"/>
      <c r="J16" s="1" t="s">
        <v>2</v>
      </c>
      <c r="K16" s="2" t="s">
        <v>9</v>
      </c>
    </row>
    <row r="17" spans="2:11" ht="71" customHeight="1" x14ac:dyDescent="0.35">
      <c r="B17" s="24"/>
      <c r="C17" s="16"/>
      <c r="D17" s="16"/>
      <c r="E17" s="16"/>
      <c r="F17" s="16"/>
      <c r="G17" s="16"/>
      <c r="H17" s="25"/>
      <c r="J17" s="1" t="s">
        <v>8</v>
      </c>
      <c r="K17" s="2" t="s">
        <v>32</v>
      </c>
    </row>
    <row r="18" spans="2:11" ht="43.5" x14ac:dyDescent="0.35">
      <c r="B18" s="24"/>
      <c r="C18" s="16"/>
      <c r="D18" s="16"/>
      <c r="E18" s="16"/>
      <c r="F18" s="16"/>
      <c r="G18" s="16"/>
      <c r="H18" s="25"/>
      <c r="J18" s="1" t="s">
        <v>4</v>
      </c>
      <c r="K18" s="2" t="s">
        <v>10</v>
      </c>
    </row>
    <row r="19" spans="2:11" ht="15" thickBot="1" x14ac:dyDescent="0.4">
      <c r="B19" s="26"/>
      <c r="C19" s="27"/>
      <c r="D19" s="27"/>
      <c r="E19" s="27"/>
      <c r="F19" s="27"/>
      <c r="G19" s="27"/>
      <c r="H19" s="28"/>
      <c r="J19" s="1" t="s">
        <v>5</v>
      </c>
      <c r="K19" s="2" t="s">
        <v>11</v>
      </c>
    </row>
  </sheetData>
  <mergeCells count="1">
    <mergeCell ref="B11:H1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4FFD-F878-482C-A0A8-BDAA2E8CFFC3}">
  <dimension ref="B2:L19"/>
  <sheetViews>
    <sheetView showGridLines="0" workbookViewId="0">
      <selection activeCell="B11" sqref="B11:I19"/>
    </sheetView>
  </sheetViews>
  <sheetFormatPr baseColWidth="10" defaultRowHeight="14.5" x14ac:dyDescent="0.35"/>
  <cols>
    <col min="8" max="8" width="13.7265625" bestFit="1" customWidth="1"/>
    <col min="11" max="11" width="16.26953125" customWidth="1"/>
    <col min="12" max="12" width="48.81640625" customWidth="1"/>
  </cols>
  <sheetData>
    <row r="2" spans="2:12" x14ac:dyDescent="0.35">
      <c r="B2" s="3" t="s">
        <v>0</v>
      </c>
      <c r="C2" s="3" t="s">
        <v>12</v>
      </c>
      <c r="D2" s="3" t="s">
        <v>13</v>
      </c>
      <c r="E2" s="3" t="s">
        <v>23</v>
      </c>
      <c r="F2" s="3" t="s">
        <v>16</v>
      </c>
      <c r="G2" s="3" t="s">
        <v>24</v>
      </c>
      <c r="H2" s="3" t="s">
        <v>20</v>
      </c>
      <c r="I2" s="3" t="s">
        <v>15</v>
      </c>
    </row>
    <row r="3" spans="2:12" x14ac:dyDescent="0.35">
      <c r="B3" s="1" t="s">
        <v>1</v>
      </c>
      <c r="C3" s="6">
        <v>0</v>
      </c>
      <c r="D3" s="6">
        <v>1</v>
      </c>
      <c r="E3" s="6">
        <v>0</v>
      </c>
      <c r="F3" s="6">
        <v>1</v>
      </c>
      <c r="G3" s="6">
        <v>1</v>
      </c>
      <c r="H3" s="6">
        <v>0</v>
      </c>
      <c r="I3" s="6">
        <v>2</v>
      </c>
    </row>
    <row r="4" spans="2:12" x14ac:dyDescent="0.35">
      <c r="B4" s="8" t="s">
        <v>31</v>
      </c>
      <c r="C4" s="9">
        <v>5.6152064942985302E-2</v>
      </c>
      <c r="D4" s="9">
        <v>2.96549802661897E-2</v>
      </c>
      <c r="E4" s="9">
        <v>5.95424088612218E-2</v>
      </c>
      <c r="F4" s="9">
        <v>9.9215345153371298E-2</v>
      </c>
      <c r="G4" s="9">
        <v>8.30128057161231E-2</v>
      </c>
      <c r="H4" s="9">
        <v>0.13271422705261099</v>
      </c>
      <c r="I4" s="9">
        <v>8.2391998593971005E-2</v>
      </c>
    </row>
    <row r="5" spans="2:12" x14ac:dyDescent="0.35">
      <c r="B5" s="1" t="s">
        <v>2</v>
      </c>
      <c r="C5" s="7">
        <v>0</v>
      </c>
      <c r="D5" s="7">
        <v>0</v>
      </c>
      <c r="E5" s="7">
        <v>0</v>
      </c>
      <c r="F5" s="7">
        <v>1</v>
      </c>
      <c r="G5" s="7">
        <v>1</v>
      </c>
      <c r="H5" s="7">
        <v>2</v>
      </c>
      <c r="I5" s="7">
        <v>1</v>
      </c>
    </row>
    <row r="6" spans="2:12" x14ac:dyDescent="0.35">
      <c r="B6" s="1" t="s">
        <v>3</v>
      </c>
      <c r="C6" s="1">
        <v>1</v>
      </c>
      <c r="D6" s="1">
        <v>0</v>
      </c>
      <c r="E6" s="1">
        <v>1</v>
      </c>
      <c r="F6" s="1">
        <v>1</v>
      </c>
      <c r="G6" s="1">
        <v>0</v>
      </c>
      <c r="H6" s="1">
        <v>1</v>
      </c>
      <c r="I6" s="1">
        <v>1</v>
      </c>
    </row>
    <row r="7" spans="2:12" x14ac:dyDescent="0.35">
      <c r="B7" s="1" t="s">
        <v>4</v>
      </c>
      <c r="C7" s="1">
        <v>0</v>
      </c>
      <c r="D7" s="1">
        <v>0</v>
      </c>
      <c r="E7" s="1">
        <v>1</v>
      </c>
      <c r="F7" s="1">
        <v>1</v>
      </c>
      <c r="G7" s="1">
        <v>1</v>
      </c>
      <c r="H7" s="1">
        <v>1</v>
      </c>
      <c r="I7" s="1">
        <v>1</v>
      </c>
    </row>
    <row r="8" spans="2:12" x14ac:dyDescent="0.35">
      <c r="B8" s="1" t="s">
        <v>5</v>
      </c>
      <c r="C8" s="1">
        <v>1</v>
      </c>
      <c r="D8" s="1">
        <v>0</v>
      </c>
      <c r="E8" s="1">
        <v>1</v>
      </c>
      <c r="F8" s="1">
        <v>1</v>
      </c>
      <c r="G8" s="1">
        <v>0</v>
      </c>
      <c r="H8" s="1">
        <v>1</v>
      </c>
      <c r="I8" s="1">
        <v>1</v>
      </c>
    </row>
    <row r="10" spans="2:12" ht="15" thickBot="1" x14ac:dyDescent="0.4"/>
    <row r="11" spans="2:12" ht="14.5" customHeight="1" x14ac:dyDescent="0.35">
      <c r="B11" s="12" t="s">
        <v>40</v>
      </c>
      <c r="C11" s="13"/>
      <c r="D11" s="13"/>
      <c r="E11" s="13"/>
      <c r="F11" s="13"/>
      <c r="G11" s="13"/>
      <c r="H11" s="13"/>
      <c r="I11" s="14"/>
    </row>
    <row r="12" spans="2:12" x14ac:dyDescent="0.35">
      <c r="B12" s="15"/>
      <c r="C12" s="16"/>
      <c r="D12" s="16"/>
      <c r="E12" s="16"/>
      <c r="F12" s="16"/>
      <c r="G12" s="16"/>
      <c r="H12" s="16"/>
      <c r="I12" s="17"/>
    </row>
    <row r="13" spans="2:12" x14ac:dyDescent="0.35">
      <c r="B13" s="15"/>
      <c r="C13" s="16"/>
      <c r="D13" s="16"/>
      <c r="E13" s="16"/>
      <c r="F13" s="16"/>
      <c r="G13" s="16"/>
      <c r="H13" s="16"/>
      <c r="I13" s="17"/>
    </row>
    <row r="14" spans="2:12" x14ac:dyDescent="0.35">
      <c r="B14" s="15"/>
      <c r="C14" s="16"/>
      <c r="D14" s="16"/>
      <c r="E14" s="16"/>
      <c r="F14" s="16"/>
      <c r="G14" s="16"/>
      <c r="H14" s="16"/>
      <c r="I14" s="17"/>
    </row>
    <row r="15" spans="2:12" x14ac:dyDescent="0.35">
      <c r="B15" s="15"/>
      <c r="C15" s="16"/>
      <c r="D15" s="16"/>
      <c r="E15" s="16"/>
      <c r="F15" s="16"/>
      <c r="G15" s="16"/>
      <c r="H15" s="16"/>
      <c r="I15" s="17"/>
      <c r="K15" s="3" t="s">
        <v>6</v>
      </c>
      <c r="L15" s="3" t="s">
        <v>7</v>
      </c>
    </row>
    <row r="16" spans="2:12" ht="29" x14ac:dyDescent="0.35">
      <c r="B16" s="15"/>
      <c r="C16" s="16"/>
      <c r="D16" s="16"/>
      <c r="E16" s="16"/>
      <c r="F16" s="16"/>
      <c r="G16" s="16"/>
      <c r="H16" s="16"/>
      <c r="I16" s="17"/>
      <c r="K16" s="1" t="s">
        <v>2</v>
      </c>
      <c r="L16" s="2" t="s">
        <v>9</v>
      </c>
    </row>
    <row r="17" spans="2:12" ht="72.5" x14ac:dyDescent="0.35">
      <c r="B17" s="15"/>
      <c r="C17" s="16"/>
      <c r="D17" s="16"/>
      <c r="E17" s="16"/>
      <c r="F17" s="16"/>
      <c r="G17" s="16"/>
      <c r="H17" s="16"/>
      <c r="I17" s="17"/>
      <c r="K17" s="1" t="s">
        <v>8</v>
      </c>
      <c r="L17" s="2" t="s">
        <v>32</v>
      </c>
    </row>
    <row r="18" spans="2:12" ht="43.5" x14ac:dyDescent="0.35">
      <c r="B18" s="15"/>
      <c r="C18" s="16"/>
      <c r="D18" s="16"/>
      <c r="E18" s="16"/>
      <c r="F18" s="16"/>
      <c r="G18" s="16"/>
      <c r="H18" s="16"/>
      <c r="I18" s="17"/>
      <c r="K18" s="1" t="s">
        <v>4</v>
      </c>
      <c r="L18" s="2" t="s">
        <v>10</v>
      </c>
    </row>
    <row r="19" spans="2:12" ht="15" thickBot="1" x14ac:dyDescent="0.4">
      <c r="B19" s="18"/>
      <c r="C19" s="19"/>
      <c r="D19" s="19"/>
      <c r="E19" s="19"/>
      <c r="F19" s="19"/>
      <c r="G19" s="19"/>
      <c r="H19" s="19"/>
      <c r="I19" s="20"/>
      <c r="K19" s="1" t="s">
        <v>5</v>
      </c>
      <c r="L19" s="2" t="s">
        <v>11</v>
      </c>
    </row>
  </sheetData>
  <mergeCells count="1">
    <mergeCell ref="B11:I1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08D38-758B-4C93-953E-47B034B6B7A0}">
  <dimension ref="B2:K19"/>
  <sheetViews>
    <sheetView showGridLines="0" workbookViewId="0">
      <selection activeCell="B11" sqref="B11:H19"/>
    </sheetView>
  </sheetViews>
  <sheetFormatPr baseColWidth="10" defaultRowHeight="14.5" x14ac:dyDescent="0.35"/>
  <cols>
    <col min="8" max="8" width="13.7265625" customWidth="1"/>
    <col min="10" max="10" width="16.26953125" customWidth="1"/>
    <col min="11" max="11" width="45.54296875" customWidth="1"/>
  </cols>
  <sheetData>
    <row r="2" spans="2:11" x14ac:dyDescent="0.35">
      <c r="B2" s="3" t="s">
        <v>0</v>
      </c>
      <c r="C2" s="3" t="s">
        <v>12</v>
      </c>
      <c r="D2" s="3" t="s">
        <v>22</v>
      </c>
      <c r="E2" s="3" t="s">
        <v>23</v>
      </c>
      <c r="F2" s="3" t="s">
        <v>16</v>
      </c>
      <c r="G2" s="3" t="s">
        <v>24</v>
      </c>
      <c r="H2" s="3" t="s">
        <v>20</v>
      </c>
    </row>
    <row r="3" spans="2:11" x14ac:dyDescent="0.35">
      <c r="B3" s="1" t="s">
        <v>1</v>
      </c>
      <c r="C3" s="6">
        <v>1</v>
      </c>
      <c r="D3" s="6">
        <v>1</v>
      </c>
      <c r="E3" s="6">
        <v>0</v>
      </c>
      <c r="F3" s="6">
        <v>1</v>
      </c>
      <c r="G3" s="6">
        <v>1</v>
      </c>
      <c r="H3" s="6">
        <v>0</v>
      </c>
    </row>
    <row r="4" spans="2:11" x14ac:dyDescent="0.35">
      <c r="B4" s="8" t="s">
        <v>31</v>
      </c>
      <c r="C4" s="9">
        <v>5.4320585661691997E-2</v>
      </c>
      <c r="D4" s="9">
        <v>7.06461472702858E-2</v>
      </c>
      <c r="E4" s="9">
        <v>8.6268564032049203E-2</v>
      </c>
      <c r="F4" s="9">
        <v>0.115465456686277</v>
      </c>
      <c r="G4" s="9">
        <v>0.13802657736307</v>
      </c>
      <c r="H4" s="9">
        <v>9.5278899001181402E-2</v>
      </c>
    </row>
    <row r="5" spans="2:11" x14ac:dyDescent="0.35">
      <c r="B5" s="1" t="s">
        <v>2</v>
      </c>
      <c r="C5" s="7">
        <v>0</v>
      </c>
      <c r="D5" s="7">
        <v>0</v>
      </c>
      <c r="E5" s="7">
        <v>1</v>
      </c>
      <c r="F5" s="7">
        <v>1</v>
      </c>
      <c r="G5" s="7">
        <v>1</v>
      </c>
      <c r="H5" s="7">
        <v>1</v>
      </c>
    </row>
    <row r="6" spans="2:11" x14ac:dyDescent="0.35">
      <c r="B6" s="1" t="s">
        <v>3</v>
      </c>
      <c r="C6" s="1">
        <v>0</v>
      </c>
      <c r="D6" s="1">
        <v>1</v>
      </c>
      <c r="E6" s="1">
        <v>1</v>
      </c>
      <c r="F6" s="1">
        <v>1</v>
      </c>
      <c r="G6" s="1">
        <v>1</v>
      </c>
      <c r="H6" s="1">
        <v>0</v>
      </c>
    </row>
    <row r="7" spans="2:11" x14ac:dyDescent="0.35">
      <c r="B7" s="1" t="s">
        <v>4</v>
      </c>
      <c r="C7" s="1">
        <v>0</v>
      </c>
      <c r="D7" s="1">
        <v>1</v>
      </c>
      <c r="E7" s="1">
        <v>1</v>
      </c>
      <c r="F7" s="1">
        <v>1</v>
      </c>
      <c r="G7" s="1">
        <v>1</v>
      </c>
      <c r="H7" s="1">
        <v>0</v>
      </c>
    </row>
    <row r="8" spans="2:11" x14ac:dyDescent="0.35">
      <c r="B8" s="1" t="s">
        <v>5</v>
      </c>
      <c r="C8" s="1">
        <v>0</v>
      </c>
      <c r="D8" s="1">
        <v>0</v>
      </c>
      <c r="E8" s="1">
        <v>1</v>
      </c>
      <c r="F8" s="1">
        <v>1</v>
      </c>
      <c r="G8" s="1">
        <v>1</v>
      </c>
      <c r="H8" s="1">
        <v>1</v>
      </c>
    </row>
    <row r="10" spans="2:11" ht="15" thickBot="1" x14ac:dyDescent="0.4"/>
    <row r="11" spans="2:11" ht="14.5" customHeight="1" x14ac:dyDescent="0.35">
      <c r="B11" s="12" t="s">
        <v>41</v>
      </c>
      <c r="C11" s="13"/>
      <c r="D11" s="13"/>
      <c r="E11" s="13"/>
      <c r="F11" s="13"/>
      <c r="G11" s="13"/>
      <c r="H11" s="14"/>
    </row>
    <row r="12" spans="2:11" x14ac:dyDescent="0.35">
      <c r="B12" s="15"/>
      <c r="C12" s="16"/>
      <c r="D12" s="16"/>
      <c r="E12" s="16"/>
      <c r="F12" s="16"/>
      <c r="G12" s="16"/>
      <c r="H12" s="17"/>
    </row>
    <row r="13" spans="2:11" x14ac:dyDescent="0.35">
      <c r="B13" s="15"/>
      <c r="C13" s="16"/>
      <c r="D13" s="16"/>
      <c r="E13" s="16"/>
      <c r="F13" s="16"/>
      <c r="G13" s="16"/>
      <c r="H13" s="17"/>
    </row>
    <row r="14" spans="2:11" x14ac:dyDescent="0.35">
      <c r="B14" s="15"/>
      <c r="C14" s="16"/>
      <c r="D14" s="16"/>
      <c r="E14" s="16"/>
      <c r="F14" s="16"/>
      <c r="G14" s="16"/>
      <c r="H14" s="17"/>
    </row>
    <row r="15" spans="2:11" x14ac:dyDescent="0.35">
      <c r="B15" s="15"/>
      <c r="C15" s="16"/>
      <c r="D15" s="16"/>
      <c r="E15" s="16"/>
      <c r="F15" s="16"/>
      <c r="G15" s="16"/>
      <c r="H15" s="17"/>
      <c r="J15" s="3" t="s">
        <v>6</v>
      </c>
      <c r="K15" s="3" t="s">
        <v>7</v>
      </c>
    </row>
    <row r="16" spans="2:11" ht="29" x14ac:dyDescent="0.35">
      <c r="B16" s="15"/>
      <c r="C16" s="16"/>
      <c r="D16" s="16"/>
      <c r="E16" s="16"/>
      <c r="F16" s="16"/>
      <c r="G16" s="16"/>
      <c r="H16" s="17"/>
      <c r="J16" s="1" t="s">
        <v>2</v>
      </c>
      <c r="K16" s="2" t="s">
        <v>9</v>
      </c>
    </row>
    <row r="17" spans="2:11" ht="87" customHeight="1" x14ac:dyDescent="0.35">
      <c r="B17" s="15"/>
      <c r="C17" s="16"/>
      <c r="D17" s="16"/>
      <c r="E17" s="16"/>
      <c r="F17" s="16"/>
      <c r="G17" s="16"/>
      <c r="H17" s="17"/>
      <c r="J17" s="1" t="s">
        <v>8</v>
      </c>
      <c r="K17" s="2" t="s">
        <v>32</v>
      </c>
    </row>
    <row r="18" spans="2:11" ht="43.5" x14ac:dyDescent="0.35">
      <c r="B18" s="15"/>
      <c r="C18" s="16"/>
      <c r="D18" s="16"/>
      <c r="E18" s="16"/>
      <c r="F18" s="16"/>
      <c r="G18" s="16"/>
      <c r="H18" s="17"/>
      <c r="J18" s="1" t="s">
        <v>4</v>
      </c>
      <c r="K18" s="2" t="s">
        <v>10</v>
      </c>
    </row>
    <row r="19" spans="2:11" ht="15" thickBot="1" x14ac:dyDescent="0.4">
      <c r="B19" s="18"/>
      <c r="C19" s="19"/>
      <c r="D19" s="19"/>
      <c r="E19" s="19"/>
      <c r="F19" s="19"/>
      <c r="G19" s="19"/>
      <c r="H19" s="20"/>
      <c r="J19" s="1" t="s">
        <v>5</v>
      </c>
      <c r="K19" s="2" t="s">
        <v>11</v>
      </c>
    </row>
  </sheetData>
  <mergeCells count="1">
    <mergeCell ref="B11:H1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2A79-2B4A-4137-852C-755DEDCA5B93}">
  <dimension ref="B2:O19"/>
  <sheetViews>
    <sheetView showGridLines="0" workbookViewId="0">
      <selection activeCell="B11" sqref="B11:L19"/>
    </sheetView>
  </sheetViews>
  <sheetFormatPr baseColWidth="10" defaultRowHeight="14.5" x14ac:dyDescent="0.35"/>
  <cols>
    <col min="4" max="4" width="12" bestFit="1" customWidth="1"/>
    <col min="8" max="8" width="13.7265625" bestFit="1" customWidth="1"/>
    <col min="14" max="14" width="16.26953125" customWidth="1"/>
    <col min="15" max="15" width="47.90625" customWidth="1"/>
  </cols>
  <sheetData>
    <row r="2" spans="2:15" x14ac:dyDescent="0.35">
      <c r="B2" s="4" t="s">
        <v>0</v>
      </c>
      <c r="C2" s="4" t="s">
        <v>12</v>
      </c>
      <c r="D2" s="4" t="s">
        <v>28</v>
      </c>
      <c r="E2" s="4" t="s">
        <v>14</v>
      </c>
      <c r="F2" s="4" t="s">
        <v>22</v>
      </c>
      <c r="G2" s="4" t="s">
        <v>24</v>
      </c>
      <c r="H2" s="4" t="s">
        <v>20</v>
      </c>
      <c r="I2" s="4" t="s">
        <v>21</v>
      </c>
      <c r="J2" s="4" t="s">
        <v>16</v>
      </c>
      <c r="K2" s="4" t="s">
        <v>23</v>
      </c>
      <c r="L2" s="4" t="s">
        <v>18</v>
      </c>
    </row>
    <row r="3" spans="2:15" x14ac:dyDescent="0.35">
      <c r="B3" s="5" t="s">
        <v>1</v>
      </c>
      <c r="C3" s="5">
        <v>1</v>
      </c>
      <c r="D3" s="5">
        <v>1</v>
      </c>
      <c r="E3" s="5">
        <v>1</v>
      </c>
      <c r="F3" s="5">
        <v>0</v>
      </c>
      <c r="G3" s="5">
        <v>1</v>
      </c>
      <c r="H3" s="5">
        <v>1</v>
      </c>
      <c r="I3" s="5">
        <v>0</v>
      </c>
      <c r="J3" s="5">
        <v>0</v>
      </c>
      <c r="K3" s="5">
        <v>0</v>
      </c>
      <c r="L3" s="5">
        <v>0</v>
      </c>
    </row>
    <row r="4" spans="2:15" x14ac:dyDescent="0.35">
      <c r="B4" s="8" t="s">
        <v>31</v>
      </c>
      <c r="C4" s="9">
        <v>3.6473723329043001E-2</v>
      </c>
      <c r="D4" s="9">
        <v>6.5057891368099294E-2</v>
      </c>
      <c r="E4" s="9">
        <v>3.8924502070088698E-2</v>
      </c>
      <c r="F4" s="9">
        <v>7.3928804006029594E-2</v>
      </c>
      <c r="G4" s="9">
        <v>0.10266845530518599</v>
      </c>
      <c r="H4" s="9">
        <v>0.120186468354624</v>
      </c>
      <c r="I4" s="9">
        <v>7.2042087854316997E-2</v>
      </c>
      <c r="J4" s="9">
        <v>0.106851512789369</v>
      </c>
      <c r="K4" s="9">
        <v>5.31421563227302E-2</v>
      </c>
      <c r="L4" s="9">
        <v>4.3204126511778303E-2</v>
      </c>
    </row>
    <row r="5" spans="2:15" x14ac:dyDescent="0.35">
      <c r="B5" s="5" t="s">
        <v>2</v>
      </c>
      <c r="C5" s="5">
        <v>0</v>
      </c>
      <c r="D5" s="5">
        <v>0</v>
      </c>
      <c r="E5" s="5">
        <v>0</v>
      </c>
      <c r="F5" s="5">
        <v>1</v>
      </c>
      <c r="G5" s="5">
        <v>1</v>
      </c>
      <c r="H5" s="5">
        <v>1</v>
      </c>
      <c r="I5" s="5">
        <v>1</v>
      </c>
      <c r="J5" s="5">
        <v>1</v>
      </c>
      <c r="K5" s="5">
        <v>0</v>
      </c>
      <c r="L5" s="5">
        <v>0</v>
      </c>
    </row>
    <row r="6" spans="2:15" x14ac:dyDescent="0.35">
      <c r="B6" s="5" t="s">
        <v>3</v>
      </c>
      <c r="C6" s="5">
        <v>0</v>
      </c>
      <c r="D6" s="5">
        <v>0</v>
      </c>
      <c r="E6" s="5">
        <v>0</v>
      </c>
      <c r="F6" s="5">
        <v>1</v>
      </c>
      <c r="G6" s="5">
        <v>1</v>
      </c>
      <c r="H6" s="5">
        <v>1</v>
      </c>
      <c r="I6" s="5">
        <v>1</v>
      </c>
      <c r="J6" s="5">
        <v>1</v>
      </c>
      <c r="K6" s="5">
        <v>0</v>
      </c>
      <c r="L6" s="5">
        <v>0</v>
      </c>
    </row>
    <row r="7" spans="2:15" x14ac:dyDescent="0.35">
      <c r="B7" s="5" t="s">
        <v>4</v>
      </c>
      <c r="C7" s="5">
        <v>0</v>
      </c>
      <c r="D7" s="5">
        <v>0</v>
      </c>
      <c r="E7" s="5">
        <v>0</v>
      </c>
      <c r="F7" s="5">
        <v>1</v>
      </c>
      <c r="G7" s="5">
        <v>1</v>
      </c>
      <c r="H7" s="5">
        <v>1</v>
      </c>
      <c r="I7" s="5">
        <v>0</v>
      </c>
      <c r="J7" s="5">
        <v>1</v>
      </c>
      <c r="K7" s="5">
        <v>1</v>
      </c>
      <c r="L7" s="5">
        <v>0</v>
      </c>
    </row>
    <row r="8" spans="2:15" x14ac:dyDescent="0.35">
      <c r="B8" s="5" t="s">
        <v>5</v>
      </c>
      <c r="C8" s="5">
        <v>0</v>
      </c>
      <c r="D8" s="5">
        <v>0</v>
      </c>
      <c r="E8" s="5">
        <v>0</v>
      </c>
      <c r="F8" s="5">
        <v>0</v>
      </c>
      <c r="G8" s="5">
        <v>1</v>
      </c>
      <c r="H8" s="5">
        <v>1</v>
      </c>
      <c r="I8" s="5">
        <v>1</v>
      </c>
      <c r="J8" s="5">
        <v>1</v>
      </c>
      <c r="K8" s="5">
        <v>0</v>
      </c>
      <c r="L8" s="5">
        <v>1</v>
      </c>
    </row>
    <row r="10" spans="2:15" ht="15" thickBot="1" x14ac:dyDescent="0.4"/>
    <row r="11" spans="2:15" ht="14.5" customHeight="1" x14ac:dyDescent="0.35">
      <c r="B11" s="12" t="s">
        <v>42</v>
      </c>
      <c r="C11" s="13"/>
      <c r="D11" s="13"/>
      <c r="E11" s="13"/>
      <c r="F11" s="13"/>
      <c r="G11" s="13"/>
      <c r="H11" s="13"/>
      <c r="I11" s="13"/>
      <c r="J11" s="13"/>
      <c r="K11" s="13"/>
      <c r="L11" s="14"/>
    </row>
    <row r="12" spans="2:15" x14ac:dyDescent="0.35">
      <c r="B12" s="15"/>
      <c r="C12" s="16"/>
      <c r="D12" s="16"/>
      <c r="E12" s="16"/>
      <c r="F12" s="16"/>
      <c r="G12" s="16"/>
      <c r="H12" s="16"/>
      <c r="I12" s="16"/>
      <c r="J12" s="16"/>
      <c r="K12" s="16"/>
      <c r="L12" s="17"/>
    </row>
    <row r="13" spans="2:15" x14ac:dyDescent="0.35">
      <c r="B13" s="15"/>
      <c r="C13" s="16"/>
      <c r="D13" s="16"/>
      <c r="E13" s="16"/>
      <c r="F13" s="16"/>
      <c r="G13" s="16"/>
      <c r="H13" s="16"/>
      <c r="I13" s="16"/>
      <c r="J13" s="16"/>
      <c r="K13" s="16"/>
      <c r="L13" s="17"/>
    </row>
    <row r="14" spans="2:15" x14ac:dyDescent="0.35">
      <c r="B14" s="15"/>
      <c r="C14" s="16"/>
      <c r="D14" s="16"/>
      <c r="E14" s="16"/>
      <c r="F14" s="16"/>
      <c r="G14" s="16"/>
      <c r="H14" s="16"/>
      <c r="I14" s="16"/>
      <c r="J14" s="16"/>
      <c r="K14" s="16"/>
      <c r="L14" s="17"/>
    </row>
    <row r="15" spans="2:15" x14ac:dyDescent="0.35">
      <c r="B15" s="15"/>
      <c r="C15" s="16"/>
      <c r="D15" s="16"/>
      <c r="E15" s="16"/>
      <c r="F15" s="16"/>
      <c r="G15" s="16"/>
      <c r="H15" s="16"/>
      <c r="I15" s="16"/>
      <c r="J15" s="16"/>
      <c r="K15" s="16"/>
      <c r="L15" s="17"/>
      <c r="N15" s="3" t="s">
        <v>6</v>
      </c>
      <c r="O15" s="3" t="s">
        <v>7</v>
      </c>
    </row>
    <row r="16" spans="2:15" ht="29" x14ac:dyDescent="0.35">
      <c r="B16" s="15"/>
      <c r="C16" s="16"/>
      <c r="D16" s="16"/>
      <c r="E16" s="16"/>
      <c r="F16" s="16"/>
      <c r="G16" s="16"/>
      <c r="H16" s="16"/>
      <c r="I16" s="16"/>
      <c r="J16" s="16"/>
      <c r="K16" s="16"/>
      <c r="L16" s="17"/>
      <c r="N16" s="1" t="s">
        <v>2</v>
      </c>
      <c r="O16" s="2" t="s">
        <v>9</v>
      </c>
    </row>
    <row r="17" spans="2:15" ht="72.5" x14ac:dyDescent="0.35">
      <c r="B17" s="15"/>
      <c r="C17" s="16"/>
      <c r="D17" s="16"/>
      <c r="E17" s="16"/>
      <c r="F17" s="16"/>
      <c r="G17" s="16"/>
      <c r="H17" s="16"/>
      <c r="I17" s="16"/>
      <c r="J17" s="16"/>
      <c r="K17" s="16"/>
      <c r="L17" s="17"/>
      <c r="N17" s="1" t="s">
        <v>8</v>
      </c>
      <c r="O17" s="2" t="s">
        <v>32</v>
      </c>
    </row>
    <row r="18" spans="2:15" ht="43.5" x14ac:dyDescent="0.35">
      <c r="B18" s="15"/>
      <c r="C18" s="16"/>
      <c r="D18" s="16"/>
      <c r="E18" s="16"/>
      <c r="F18" s="16"/>
      <c r="G18" s="16"/>
      <c r="H18" s="16"/>
      <c r="I18" s="16"/>
      <c r="J18" s="16"/>
      <c r="K18" s="16"/>
      <c r="L18" s="17"/>
      <c r="N18" s="1" t="s">
        <v>4</v>
      </c>
      <c r="O18" s="2" t="s">
        <v>10</v>
      </c>
    </row>
    <row r="19" spans="2:15" ht="15" thickBot="1" x14ac:dyDescent="0.4">
      <c r="B19" s="18"/>
      <c r="C19" s="19"/>
      <c r="D19" s="19"/>
      <c r="E19" s="19"/>
      <c r="F19" s="19"/>
      <c r="G19" s="19"/>
      <c r="H19" s="19"/>
      <c r="I19" s="19"/>
      <c r="J19" s="19"/>
      <c r="K19" s="19"/>
      <c r="L19" s="20"/>
      <c r="N19" s="1" t="s">
        <v>5</v>
      </c>
      <c r="O19" s="2" t="s">
        <v>11</v>
      </c>
    </row>
  </sheetData>
  <mergeCells count="1">
    <mergeCell ref="B11:L1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488B-26AE-49B8-83E1-BFE79ADC2E4A}">
  <dimension ref="B2:N19"/>
  <sheetViews>
    <sheetView showGridLines="0" workbookViewId="0">
      <selection activeCell="B11" sqref="B11:K19"/>
    </sheetView>
  </sheetViews>
  <sheetFormatPr baseColWidth="10" defaultRowHeight="14.5" x14ac:dyDescent="0.35"/>
  <cols>
    <col min="4" max="4" width="12" bestFit="1" customWidth="1"/>
    <col min="7" max="7" width="13.7265625" bestFit="1" customWidth="1"/>
    <col min="13" max="13" width="16.26953125" customWidth="1"/>
    <col min="14" max="14" width="48" customWidth="1"/>
  </cols>
  <sheetData>
    <row r="2" spans="2:14" x14ac:dyDescent="0.35">
      <c r="B2" s="4" t="s">
        <v>0</v>
      </c>
      <c r="C2" s="4" t="s">
        <v>12</v>
      </c>
      <c r="D2" s="4" t="s">
        <v>29</v>
      </c>
      <c r="E2" s="4" t="s">
        <v>21</v>
      </c>
      <c r="F2" s="4" t="s">
        <v>24</v>
      </c>
      <c r="G2" s="4" t="s">
        <v>20</v>
      </c>
      <c r="H2" s="4" t="s">
        <v>15</v>
      </c>
      <c r="I2" s="4" t="s">
        <v>16</v>
      </c>
      <c r="J2" s="4" t="s">
        <v>23</v>
      </c>
      <c r="K2" s="4" t="s">
        <v>22</v>
      </c>
    </row>
    <row r="3" spans="2:14" x14ac:dyDescent="0.35">
      <c r="B3" s="5" t="s">
        <v>1</v>
      </c>
      <c r="C3" s="5">
        <v>1</v>
      </c>
      <c r="D3" s="5">
        <v>1</v>
      </c>
      <c r="E3" s="5">
        <v>0</v>
      </c>
      <c r="F3" s="5">
        <v>1</v>
      </c>
      <c r="G3" s="5">
        <v>2</v>
      </c>
      <c r="H3" s="5">
        <v>0</v>
      </c>
      <c r="I3" s="5">
        <v>2</v>
      </c>
      <c r="J3" s="5">
        <v>0</v>
      </c>
      <c r="K3" s="5">
        <v>0</v>
      </c>
    </row>
    <row r="4" spans="2:14" x14ac:dyDescent="0.35">
      <c r="B4" s="8" t="s">
        <v>31</v>
      </c>
      <c r="C4" s="9">
        <v>5.95563736251076E-2</v>
      </c>
      <c r="D4" s="9">
        <v>2.9923788117141501E-2</v>
      </c>
      <c r="E4" s="9">
        <v>4.0901486477318803E-2</v>
      </c>
      <c r="F4" s="9">
        <v>9.3503877794745005E-2</v>
      </c>
      <c r="G4" s="9">
        <v>0.11684936697032799</v>
      </c>
      <c r="H4" s="9">
        <v>5.1195658713101999E-2</v>
      </c>
      <c r="I4" s="9">
        <v>0.132043423109071</v>
      </c>
      <c r="J4" s="9">
        <v>3.8563545529367901E-2</v>
      </c>
      <c r="K4" s="9">
        <v>4.72689035293756E-2</v>
      </c>
    </row>
    <row r="5" spans="2:14" x14ac:dyDescent="0.35">
      <c r="B5" s="5" t="s">
        <v>2</v>
      </c>
      <c r="C5" s="5">
        <v>1</v>
      </c>
      <c r="D5" s="5">
        <v>0</v>
      </c>
      <c r="E5" s="5">
        <v>0</v>
      </c>
      <c r="F5" s="5">
        <v>1</v>
      </c>
      <c r="G5" s="5">
        <v>2</v>
      </c>
      <c r="H5" s="5">
        <v>1</v>
      </c>
      <c r="I5" s="5">
        <v>2</v>
      </c>
      <c r="J5" s="5">
        <v>0</v>
      </c>
      <c r="K5" s="5">
        <v>0</v>
      </c>
    </row>
    <row r="6" spans="2:14" x14ac:dyDescent="0.35">
      <c r="B6" s="5" t="s">
        <v>3</v>
      </c>
      <c r="C6" s="5">
        <v>1</v>
      </c>
      <c r="D6" s="5">
        <v>0</v>
      </c>
      <c r="E6" s="5">
        <v>0</v>
      </c>
      <c r="F6" s="5">
        <v>1</v>
      </c>
      <c r="G6" s="5">
        <v>1</v>
      </c>
      <c r="H6" s="5">
        <v>1</v>
      </c>
      <c r="I6" s="5">
        <v>2</v>
      </c>
      <c r="J6" s="5">
        <v>0</v>
      </c>
      <c r="K6" s="5">
        <v>1</v>
      </c>
    </row>
    <row r="7" spans="2:14" x14ac:dyDescent="0.35">
      <c r="B7" s="5" t="s">
        <v>4</v>
      </c>
      <c r="C7" s="5">
        <v>1</v>
      </c>
      <c r="D7" s="5">
        <v>0</v>
      </c>
      <c r="E7" s="5">
        <v>0</v>
      </c>
      <c r="F7" s="5">
        <v>1</v>
      </c>
      <c r="G7" s="5">
        <v>1</v>
      </c>
      <c r="H7" s="5">
        <v>1</v>
      </c>
      <c r="I7" s="5">
        <v>2</v>
      </c>
      <c r="J7" s="5">
        <v>1</v>
      </c>
      <c r="K7" s="5">
        <v>0</v>
      </c>
    </row>
    <row r="8" spans="2:14" x14ac:dyDescent="0.35">
      <c r="B8" s="5" t="s">
        <v>5</v>
      </c>
      <c r="C8" s="5">
        <v>1</v>
      </c>
      <c r="D8" s="5">
        <v>0</v>
      </c>
      <c r="E8" s="5">
        <v>1</v>
      </c>
      <c r="F8" s="5">
        <v>1</v>
      </c>
      <c r="G8" s="5">
        <v>1</v>
      </c>
      <c r="H8" s="5">
        <v>1</v>
      </c>
      <c r="I8" s="5">
        <v>2</v>
      </c>
      <c r="J8" s="5">
        <v>0</v>
      </c>
      <c r="K8" s="5">
        <v>0</v>
      </c>
    </row>
    <row r="10" spans="2:14" ht="15" thickBot="1" x14ac:dyDescent="0.4"/>
    <row r="11" spans="2:14" ht="14.5" customHeight="1" x14ac:dyDescent="0.35">
      <c r="B11" s="12" t="s">
        <v>43</v>
      </c>
      <c r="C11" s="13"/>
      <c r="D11" s="13"/>
      <c r="E11" s="13"/>
      <c r="F11" s="13"/>
      <c r="G11" s="13"/>
      <c r="H11" s="13"/>
      <c r="I11" s="13"/>
      <c r="J11" s="13"/>
      <c r="K11" s="14"/>
    </row>
    <row r="12" spans="2:14" x14ac:dyDescent="0.35">
      <c r="B12" s="15"/>
      <c r="C12" s="16"/>
      <c r="D12" s="16"/>
      <c r="E12" s="16"/>
      <c r="F12" s="16"/>
      <c r="G12" s="16"/>
      <c r="H12" s="16"/>
      <c r="I12" s="16"/>
      <c r="J12" s="16"/>
      <c r="K12" s="17"/>
    </row>
    <row r="13" spans="2:14" x14ac:dyDescent="0.35">
      <c r="B13" s="15"/>
      <c r="C13" s="16"/>
      <c r="D13" s="16"/>
      <c r="E13" s="16"/>
      <c r="F13" s="16"/>
      <c r="G13" s="16"/>
      <c r="H13" s="16"/>
      <c r="I13" s="16"/>
      <c r="J13" s="16"/>
      <c r="K13" s="17"/>
    </row>
    <row r="14" spans="2:14" x14ac:dyDescent="0.35">
      <c r="B14" s="15"/>
      <c r="C14" s="16"/>
      <c r="D14" s="16"/>
      <c r="E14" s="16"/>
      <c r="F14" s="16"/>
      <c r="G14" s="16"/>
      <c r="H14" s="16"/>
      <c r="I14" s="16"/>
      <c r="J14" s="16"/>
      <c r="K14" s="17"/>
    </row>
    <row r="15" spans="2:14" x14ac:dyDescent="0.35">
      <c r="B15" s="15"/>
      <c r="C15" s="16"/>
      <c r="D15" s="16"/>
      <c r="E15" s="16"/>
      <c r="F15" s="16"/>
      <c r="G15" s="16"/>
      <c r="H15" s="16"/>
      <c r="I15" s="16"/>
      <c r="J15" s="16"/>
      <c r="K15" s="17"/>
      <c r="M15" s="3" t="s">
        <v>6</v>
      </c>
      <c r="N15" s="3" t="s">
        <v>7</v>
      </c>
    </row>
    <row r="16" spans="2:14" ht="29" x14ac:dyDescent="0.35">
      <c r="B16" s="15"/>
      <c r="C16" s="16"/>
      <c r="D16" s="16"/>
      <c r="E16" s="16"/>
      <c r="F16" s="16"/>
      <c r="G16" s="16"/>
      <c r="H16" s="16"/>
      <c r="I16" s="16"/>
      <c r="J16" s="16"/>
      <c r="K16" s="17"/>
      <c r="M16" s="1" t="s">
        <v>2</v>
      </c>
      <c r="N16" s="2" t="s">
        <v>9</v>
      </c>
    </row>
    <row r="17" spans="2:14" ht="69.5" customHeight="1" x14ac:dyDescent="0.35">
      <c r="B17" s="15"/>
      <c r="C17" s="16"/>
      <c r="D17" s="16"/>
      <c r="E17" s="16"/>
      <c r="F17" s="16"/>
      <c r="G17" s="16"/>
      <c r="H17" s="16"/>
      <c r="I17" s="16"/>
      <c r="J17" s="16"/>
      <c r="K17" s="17"/>
      <c r="M17" s="1" t="s">
        <v>8</v>
      </c>
      <c r="N17" s="2" t="s">
        <v>32</v>
      </c>
    </row>
    <row r="18" spans="2:14" ht="43.5" x14ac:dyDescent="0.35">
      <c r="B18" s="15"/>
      <c r="C18" s="16"/>
      <c r="D18" s="16"/>
      <c r="E18" s="16"/>
      <c r="F18" s="16"/>
      <c r="G18" s="16"/>
      <c r="H18" s="16"/>
      <c r="I18" s="16"/>
      <c r="J18" s="16"/>
      <c r="K18" s="17"/>
      <c r="M18" s="1" t="s">
        <v>4</v>
      </c>
      <c r="N18" s="2" t="s">
        <v>10</v>
      </c>
    </row>
    <row r="19" spans="2:14" ht="15" thickBot="1" x14ac:dyDescent="0.4">
      <c r="B19" s="18"/>
      <c r="C19" s="19"/>
      <c r="D19" s="19"/>
      <c r="E19" s="19"/>
      <c r="F19" s="19"/>
      <c r="G19" s="19"/>
      <c r="H19" s="19"/>
      <c r="I19" s="19"/>
      <c r="J19" s="19"/>
      <c r="K19" s="20"/>
      <c r="M19" s="1" t="s">
        <v>5</v>
      </c>
      <c r="N19" s="2" t="s">
        <v>11</v>
      </c>
    </row>
  </sheetData>
  <mergeCells count="1">
    <mergeCell ref="B11:K1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1657-68E6-425A-BEC6-156568C1CA34}">
  <dimension ref="B2:L19"/>
  <sheetViews>
    <sheetView showGridLines="0" workbookViewId="0">
      <selection activeCell="B20" sqref="B20"/>
    </sheetView>
  </sheetViews>
  <sheetFormatPr baseColWidth="10" defaultRowHeight="14.5" x14ac:dyDescent="0.35"/>
  <cols>
    <col min="4" max="4" width="12" bestFit="1" customWidth="1"/>
    <col min="6" max="6" width="13.7265625" bestFit="1" customWidth="1"/>
    <col min="11" max="11" width="16.26953125" customWidth="1"/>
    <col min="12" max="12" width="47.08984375" customWidth="1"/>
  </cols>
  <sheetData>
    <row r="2" spans="2:12" x14ac:dyDescent="0.35">
      <c r="B2" s="4" t="s">
        <v>0</v>
      </c>
      <c r="C2" s="4" t="s">
        <v>12</v>
      </c>
      <c r="D2" s="4" t="s">
        <v>26</v>
      </c>
      <c r="E2" s="4" t="s">
        <v>24</v>
      </c>
      <c r="F2" s="4" t="s">
        <v>20</v>
      </c>
      <c r="G2" s="4" t="s">
        <v>15</v>
      </c>
      <c r="H2" s="4" t="s">
        <v>16</v>
      </c>
      <c r="I2" s="4" t="s">
        <v>23</v>
      </c>
    </row>
    <row r="3" spans="2:12" x14ac:dyDescent="0.35">
      <c r="B3" s="5" t="s">
        <v>1</v>
      </c>
      <c r="C3" s="5">
        <v>1</v>
      </c>
      <c r="D3" s="5">
        <v>1</v>
      </c>
      <c r="E3" s="5">
        <v>1</v>
      </c>
      <c r="F3" s="5">
        <v>0</v>
      </c>
      <c r="G3" s="5">
        <v>0</v>
      </c>
      <c r="H3" s="5">
        <v>0</v>
      </c>
      <c r="I3" s="5">
        <v>2</v>
      </c>
    </row>
    <row r="4" spans="2:12" x14ac:dyDescent="0.35">
      <c r="B4" s="8" t="s">
        <v>31</v>
      </c>
      <c r="C4" s="9">
        <v>7.5547631585278094E-2</v>
      </c>
      <c r="D4" s="9">
        <v>3.15949009785865E-3</v>
      </c>
      <c r="E4" s="9">
        <v>7.19059316619933E-2</v>
      </c>
      <c r="F4" s="9">
        <v>0.115577462303968</v>
      </c>
      <c r="G4" s="9">
        <v>7.7068570557936006E-2</v>
      </c>
      <c r="H4" s="9">
        <v>0.13054414331575301</v>
      </c>
      <c r="I4" s="9">
        <v>0.14421976365303299</v>
      </c>
    </row>
    <row r="5" spans="2:12" x14ac:dyDescent="0.35">
      <c r="B5" s="5" t="s">
        <v>2</v>
      </c>
      <c r="C5" s="5">
        <v>1</v>
      </c>
      <c r="D5" s="5">
        <v>0</v>
      </c>
      <c r="E5" s="5">
        <v>0</v>
      </c>
      <c r="F5" s="5">
        <v>1</v>
      </c>
      <c r="G5" s="5">
        <v>1</v>
      </c>
      <c r="H5" s="5">
        <v>1</v>
      </c>
      <c r="I5" s="5">
        <v>1</v>
      </c>
    </row>
    <row r="6" spans="2:12" x14ac:dyDescent="0.35">
      <c r="B6" s="5" t="s">
        <v>3</v>
      </c>
      <c r="C6" s="5">
        <v>1</v>
      </c>
      <c r="D6" s="5">
        <v>0</v>
      </c>
      <c r="E6" s="5">
        <v>0</v>
      </c>
      <c r="F6" s="5">
        <v>1</v>
      </c>
      <c r="G6" s="5">
        <v>1</v>
      </c>
      <c r="H6" s="5">
        <v>1</v>
      </c>
      <c r="I6" s="5">
        <v>1</v>
      </c>
    </row>
    <row r="7" spans="2:12" x14ac:dyDescent="0.35">
      <c r="B7" s="5" t="s">
        <v>4</v>
      </c>
      <c r="C7" s="5">
        <v>1</v>
      </c>
      <c r="D7" s="5">
        <v>0</v>
      </c>
      <c r="E7" s="5">
        <v>0</v>
      </c>
      <c r="F7" s="5">
        <v>1</v>
      </c>
      <c r="G7" s="5">
        <v>1</v>
      </c>
      <c r="H7" s="5">
        <v>1</v>
      </c>
      <c r="I7" s="5">
        <v>1</v>
      </c>
    </row>
    <row r="8" spans="2:12" x14ac:dyDescent="0.35">
      <c r="B8" s="5" t="s">
        <v>5</v>
      </c>
      <c r="C8" s="5">
        <v>1</v>
      </c>
      <c r="D8" s="5">
        <v>0</v>
      </c>
      <c r="E8" s="5">
        <v>0</v>
      </c>
      <c r="F8" s="5">
        <v>1</v>
      </c>
      <c r="G8" s="5">
        <v>1</v>
      </c>
      <c r="H8" s="5">
        <v>1</v>
      </c>
      <c r="I8" s="5">
        <v>1</v>
      </c>
    </row>
    <row r="10" spans="2:12" ht="15" thickBot="1" x14ac:dyDescent="0.4"/>
    <row r="11" spans="2:12" ht="14.5" customHeight="1" x14ac:dyDescent="0.35">
      <c r="B11" s="21" t="s">
        <v>44</v>
      </c>
      <c r="C11" s="22"/>
      <c r="D11" s="22"/>
      <c r="E11" s="22"/>
      <c r="F11" s="22"/>
      <c r="G11" s="22"/>
      <c r="H11" s="22"/>
      <c r="I11" s="23"/>
    </row>
    <row r="12" spans="2:12" x14ac:dyDescent="0.35">
      <c r="B12" s="24"/>
      <c r="C12" s="16"/>
      <c r="D12" s="16"/>
      <c r="E12" s="16"/>
      <c r="F12" s="16"/>
      <c r="G12" s="16"/>
      <c r="H12" s="16"/>
      <c r="I12" s="25"/>
    </row>
    <row r="13" spans="2:12" x14ac:dyDescent="0.35">
      <c r="B13" s="24"/>
      <c r="C13" s="16"/>
      <c r="D13" s="16"/>
      <c r="E13" s="16"/>
      <c r="F13" s="16"/>
      <c r="G13" s="16"/>
      <c r="H13" s="16"/>
      <c r="I13" s="25"/>
    </row>
    <row r="14" spans="2:12" x14ac:dyDescent="0.35">
      <c r="B14" s="24"/>
      <c r="C14" s="16"/>
      <c r="D14" s="16"/>
      <c r="E14" s="16"/>
      <c r="F14" s="16"/>
      <c r="G14" s="16"/>
      <c r="H14" s="16"/>
      <c r="I14" s="25"/>
    </row>
    <row r="15" spans="2:12" x14ac:dyDescent="0.35">
      <c r="B15" s="24"/>
      <c r="C15" s="16"/>
      <c r="D15" s="16"/>
      <c r="E15" s="16"/>
      <c r="F15" s="16"/>
      <c r="G15" s="16"/>
      <c r="H15" s="16"/>
      <c r="I15" s="25"/>
      <c r="K15" s="3" t="s">
        <v>6</v>
      </c>
      <c r="L15" s="3" t="s">
        <v>7</v>
      </c>
    </row>
    <row r="16" spans="2:12" ht="29" x14ac:dyDescent="0.35">
      <c r="B16" s="24"/>
      <c r="C16" s="16"/>
      <c r="D16" s="16"/>
      <c r="E16" s="16"/>
      <c r="F16" s="16"/>
      <c r="G16" s="16"/>
      <c r="H16" s="16"/>
      <c r="I16" s="25"/>
      <c r="K16" s="1" t="s">
        <v>2</v>
      </c>
      <c r="L16" s="2" t="s">
        <v>9</v>
      </c>
    </row>
    <row r="17" spans="2:12" ht="72.5" x14ac:dyDescent="0.35">
      <c r="B17" s="24"/>
      <c r="C17" s="16"/>
      <c r="D17" s="16"/>
      <c r="E17" s="16"/>
      <c r="F17" s="16"/>
      <c r="G17" s="16"/>
      <c r="H17" s="16"/>
      <c r="I17" s="25"/>
      <c r="K17" s="1" t="s">
        <v>8</v>
      </c>
      <c r="L17" s="2" t="s">
        <v>32</v>
      </c>
    </row>
    <row r="18" spans="2:12" ht="43.5" x14ac:dyDescent="0.35">
      <c r="B18" s="24"/>
      <c r="C18" s="16"/>
      <c r="D18" s="16"/>
      <c r="E18" s="16"/>
      <c r="F18" s="16"/>
      <c r="G18" s="16"/>
      <c r="H18" s="16"/>
      <c r="I18" s="25"/>
      <c r="K18" s="1" t="s">
        <v>4</v>
      </c>
      <c r="L18" s="2" t="s">
        <v>10</v>
      </c>
    </row>
    <row r="19" spans="2:12" ht="15" thickBot="1" x14ac:dyDescent="0.4">
      <c r="B19" s="26"/>
      <c r="C19" s="27"/>
      <c r="D19" s="27"/>
      <c r="E19" s="27"/>
      <c r="F19" s="27"/>
      <c r="G19" s="27"/>
      <c r="H19" s="27"/>
      <c r="I19" s="28"/>
      <c r="K19" s="1" t="s">
        <v>5</v>
      </c>
      <c r="L19" s="2" t="s">
        <v>11</v>
      </c>
    </row>
  </sheetData>
  <mergeCells count="1">
    <mergeCell ref="B11:I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5208-EBF5-4B5B-AA05-51C599203D1C}">
  <dimension ref="B2:L19"/>
  <sheetViews>
    <sheetView showGridLines="0" workbookViewId="0">
      <selection activeCell="B11" sqref="B11:H19"/>
    </sheetView>
  </sheetViews>
  <sheetFormatPr baseColWidth="10" defaultRowHeight="14.5" x14ac:dyDescent="0.35"/>
  <cols>
    <col min="6" max="6" width="13.7265625" bestFit="1" customWidth="1"/>
    <col min="11" max="11" width="16.26953125" customWidth="1"/>
    <col min="12" max="12" width="48.453125" customWidth="1"/>
  </cols>
  <sheetData>
    <row r="2" spans="2:12" x14ac:dyDescent="0.35">
      <c r="B2" s="4" t="s">
        <v>0</v>
      </c>
      <c r="C2" s="4" t="s">
        <v>12</v>
      </c>
      <c r="D2" s="4" t="s">
        <v>17</v>
      </c>
      <c r="E2" s="4" t="s">
        <v>24</v>
      </c>
      <c r="F2" s="4" t="s">
        <v>20</v>
      </c>
      <c r="G2" s="4" t="s">
        <v>16</v>
      </c>
      <c r="H2" s="4" t="s">
        <v>23</v>
      </c>
      <c r="I2" s="4" t="s">
        <v>21</v>
      </c>
    </row>
    <row r="3" spans="2:12" x14ac:dyDescent="0.35">
      <c r="B3" s="5" t="s">
        <v>1</v>
      </c>
      <c r="C3" s="5">
        <v>1</v>
      </c>
      <c r="D3" s="5">
        <v>1</v>
      </c>
      <c r="E3" s="5">
        <v>2</v>
      </c>
      <c r="F3" s="5">
        <v>0</v>
      </c>
      <c r="G3" s="5">
        <v>1</v>
      </c>
      <c r="H3" s="5">
        <v>0</v>
      </c>
      <c r="I3" s="5">
        <v>0</v>
      </c>
    </row>
    <row r="4" spans="2:12" x14ac:dyDescent="0.35">
      <c r="B4" s="8" t="s">
        <v>31</v>
      </c>
      <c r="C4" s="9">
        <v>6.1295047274203901E-2</v>
      </c>
      <c r="D4" s="9">
        <v>2.7289819033548501E-2</v>
      </c>
      <c r="E4" s="9">
        <v>0.15440811031468801</v>
      </c>
      <c r="F4" s="9">
        <v>0.104342226326578</v>
      </c>
      <c r="G4" s="9">
        <v>0.122960930922486</v>
      </c>
      <c r="H4" s="9">
        <v>7.7808522694931201E-2</v>
      </c>
      <c r="I4" s="9">
        <v>5.2651968576183698E-2</v>
      </c>
    </row>
    <row r="5" spans="2:12" x14ac:dyDescent="0.35">
      <c r="B5" s="5" t="s">
        <v>2</v>
      </c>
      <c r="C5" s="5">
        <v>0</v>
      </c>
      <c r="D5" s="5">
        <v>0</v>
      </c>
      <c r="E5" s="5">
        <v>2</v>
      </c>
      <c r="F5" s="5">
        <v>1</v>
      </c>
      <c r="G5" s="5">
        <v>1</v>
      </c>
      <c r="H5" s="5">
        <v>1</v>
      </c>
      <c r="I5" s="5">
        <v>0</v>
      </c>
    </row>
    <row r="6" spans="2:12" x14ac:dyDescent="0.35">
      <c r="B6" s="5" t="s">
        <v>3</v>
      </c>
      <c r="C6" s="5">
        <v>0</v>
      </c>
      <c r="D6" s="5">
        <v>0</v>
      </c>
      <c r="E6" s="5">
        <v>1</v>
      </c>
      <c r="F6" s="5">
        <v>1</v>
      </c>
      <c r="G6" s="5">
        <v>1</v>
      </c>
      <c r="H6" s="5">
        <v>1</v>
      </c>
      <c r="I6" s="5">
        <v>1</v>
      </c>
    </row>
    <row r="7" spans="2:12" x14ac:dyDescent="0.35">
      <c r="B7" s="5" t="s">
        <v>4</v>
      </c>
      <c r="C7" s="5">
        <v>0</v>
      </c>
      <c r="D7" s="5">
        <v>0</v>
      </c>
      <c r="E7" s="5">
        <v>1</v>
      </c>
      <c r="F7" s="5">
        <v>1</v>
      </c>
      <c r="G7" s="5">
        <v>1</v>
      </c>
      <c r="H7" s="5">
        <v>1</v>
      </c>
      <c r="I7" s="5">
        <v>1</v>
      </c>
    </row>
    <row r="8" spans="2:12" x14ac:dyDescent="0.35">
      <c r="B8" s="5" t="s">
        <v>5</v>
      </c>
      <c r="C8" s="5">
        <v>1</v>
      </c>
      <c r="D8" s="5">
        <v>0</v>
      </c>
      <c r="E8" s="5">
        <v>1</v>
      </c>
      <c r="F8" s="5">
        <v>1</v>
      </c>
      <c r="G8" s="5">
        <v>1</v>
      </c>
      <c r="H8" s="5">
        <v>1</v>
      </c>
      <c r="I8" s="5">
        <v>0</v>
      </c>
    </row>
    <row r="10" spans="2:12" ht="15" thickBot="1" x14ac:dyDescent="0.4"/>
    <row r="11" spans="2:12" ht="14.5" customHeight="1" x14ac:dyDescent="0.35">
      <c r="B11" s="21" t="s">
        <v>45</v>
      </c>
      <c r="C11" s="22"/>
      <c r="D11" s="22"/>
      <c r="E11" s="22"/>
      <c r="F11" s="22"/>
      <c r="G11" s="22"/>
      <c r="H11" s="23"/>
      <c r="I11" s="11"/>
    </row>
    <row r="12" spans="2:12" x14ac:dyDescent="0.35">
      <c r="B12" s="24"/>
      <c r="C12" s="16"/>
      <c r="D12" s="16"/>
      <c r="E12" s="16"/>
      <c r="F12" s="16"/>
      <c r="G12" s="16"/>
      <c r="H12" s="25"/>
      <c r="I12" s="11"/>
    </row>
    <row r="13" spans="2:12" x14ac:dyDescent="0.35">
      <c r="B13" s="24"/>
      <c r="C13" s="16"/>
      <c r="D13" s="16"/>
      <c r="E13" s="16"/>
      <c r="F13" s="16"/>
      <c r="G13" s="16"/>
      <c r="H13" s="25"/>
      <c r="I13" s="11"/>
    </row>
    <row r="14" spans="2:12" x14ac:dyDescent="0.35">
      <c r="B14" s="24"/>
      <c r="C14" s="16"/>
      <c r="D14" s="16"/>
      <c r="E14" s="16"/>
      <c r="F14" s="16"/>
      <c r="G14" s="16"/>
      <c r="H14" s="25"/>
      <c r="I14" s="11"/>
    </row>
    <row r="15" spans="2:12" x14ac:dyDescent="0.35">
      <c r="B15" s="24"/>
      <c r="C15" s="16"/>
      <c r="D15" s="16"/>
      <c r="E15" s="16"/>
      <c r="F15" s="16"/>
      <c r="G15" s="16"/>
      <c r="H15" s="25"/>
      <c r="I15" s="11"/>
      <c r="K15" s="3" t="s">
        <v>6</v>
      </c>
      <c r="L15" s="3" t="s">
        <v>7</v>
      </c>
    </row>
    <row r="16" spans="2:12" ht="29" x14ac:dyDescent="0.35">
      <c r="B16" s="24"/>
      <c r="C16" s="16"/>
      <c r="D16" s="16"/>
      <c r="E16" s="16"/>
      <c r="F16" s="16"/>
      <c r="G16" s="16"/>
      <c r="H16" s="25"/>
      <c r="I16" s="11"/>
      <c r="K16" s="1" t="s">
        <v>2</v>
      </c>
      <c r="L16" s="2" t="s">
        <v>9</v>
      </c>
    </row>
    <row r="17" spans="2:12" ht="72.5" x14ac:dyDescent="0.35">
      <c r="B17" s="24"/>
      <c r="C17" s="16"/>
      <c r="D17" s="16"/>
      <c r="E17" s="16"/>
      <c r="F17" s="16"/>
      <c r="G17" s="16"/>
      <c r="H17" s="25"/>
      <c r="I17" s="11"/>
      <c r="K17" s="1" t="s">
        <v>8</v>
      </c>
      <c r="L17" s="2" t="s">
        <v>32</v>
      </c>
    </row>
    <row r="18" spans="2:12" ht="43.5" x14ac:dyDescent="0.35">
      <c r="B18" s="24"/>
      <c r="C18" s="16"/>
      <c r="D18" s="16"/>
      <c r="E18" s="16"/>
      <c r="F18" s="16"/>
      <c r="G18" s="16"/>
      <c r="H18" s="25"/>
      <c r="I18" s="11"/>
      <c r="K18" s="1" t="s">
        <v>4</v>
      </c>
      <c r="L18" s="2" t="s">
        <v>10</v>
      </c>
    </row>
    <row r="19" spans="2:12" ht="15" thickBot="1" x14ac:dyDescent="0.4">
      <c r="B19" s="26"/>
      <c r="C19" s="27"/>
      <c r="D19" s="27"/>
      <c r="E19" s="27"/>
      <c r="F19" s="27"/>
      <c r="G19" s="27"/>
      <c r="H19" s="28"/>
      <c r="I19" s="11"/>
      <c r="K19" s="1" t="s">
        <v>5</v>
      </c>
      <c r="L19" s="2" t="s">
        <v>11</v>
      </c>
    </row>
  </sheetData>
  <mergeCells count="1">
    <mergeCell ref="B11:H1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3998-67DE-4085-A6E8-30E813E46135}">
  <dimension ref="B2:M19"/>
  <sheetViews>
    <sheetView showGridLines="0" workbookViewId="0">
      <selection activeCell="B11" sqref="B11:J19"/>
    </sheetView>
  </sheetViews>
  <sheetFormatPr baseColWidth="10" defaultRowHeight="14.5" x14ac:dyDescent="0.35"/>
  <cols>
    <col min="6" max="6" width="13.7265625" bestFit="1" customWidth="1"/>
    <col min="12" max="12" width="16.26953125" customWidth="1"/>
    <col min="13" max="13" width="48.54296875" customWidth="1"/>
  </cols>
  <sheetData>
    <row r="2" spans="2:13" x14ac:dyDescent="0.35">
      <c r="B2" s="4" t="s">
        <v>0</v>
      </c>
      <c r="C2" s="4" t="s">
        <v>12</v>
      </c>
      <c r="D2" s="4" t="s">
        <v>27</v>
      </c>
      <c r="E2" s="4" t="s">
        <v>26</v>
      </c>
      <c r="F2" s="4" t="s">
        <v>20</v>
      </c>
      <c r="G2" s="4" t="s">
        <v>22</v>
      </c>
      <c r="H2" s="4" t="s">
        <v>16</v>
      </c>
      <c r="I2" s="4" t="s">
        <v>23</v>
      </c>
      <c r="J2" s="10" t="s">
        <v>21</v>
      </c>
    </row>
    <row r="3" spans="2:13" x14ac:dyDescent="0.35">
      <c r="B3" s="5" t="s">
        <v>1</v>
      </c>
      <c r="C3" s="5">
        <v>1</v>
      </c>
      <c r="D3" s="5">
        <v>1</v>
      </c>
      <c r="E3" s="5">
        <v>1</v>
      </c>
      <c r="F3" s="5">
        <v>0</v>
      </c>
      <c r="G3" s="5">
        <v>0</v>
      </c>
      <c r="H3" s="5">
        <v>0</v>
      </c>
      <c r="I3" s="5">
        <v>0</v>
      </c>
      <c r="J3" s="5">
        <v>0</v>
      </c>
    </row>
    <row r="4" spans="2:13" x14ac:dyDescent="0.35">
      <c r="B4" s="8" t="s">
        <v>31</v>
      </c>
      <c r="C4" s="9">
        <v>7.8691804653420905E-2</v>
      </c>
      <c r="D4" s="9">
        <v>3.6482937701830899E-2</v>
      </c>
      <c r="E4" s="9">
        <v>7.4148724097599702E-3</v>
      </c>
      <c r="F4" s="9">
        <v>9.8350043768343998E-2</v>
      </c>
      <c r="G4" s="9">
        <v>8.3637995336280593E-2</v>
      </c>
      <c r="H4" s="9">
        <v>8.5209242108824995E-2</v>
      </c>
      <c r="I4" s="9">
        <v>9.9925704155418002E-2</v>
      </c>
      <c r="J4" s="9">
        <v>6.5631919260278199E-2</v>
      </c>
    </row>
    <row r="5" spans="2:13" x14ac:dyDescent="0.35">
      <c r="B5" s="5" t="s">
        <v>2</v>
      </c>
      <c r="C5" s="5">
        <v>0</v>
      </c>
      <c r="D5" s="5">
        <v>0</v>
      </c>
      <c r="E5" s="5">
        <v>0</v>
      </c>
      <c r="F5" s="5">
        <v>1</v>
      </c>
      <c r="G5" s="5">
        <v>0</v>
      </c>
      <c r="H5" s="5">
        <v>1</v>
      </c>
      <c r="I5" s="5">
        <v>1</v>
      </c>
      <c r="J5" s="5">
        <v>0</v>
      </c>
    </row>
    <row r="6" spans="2:13" x14ac:dyDescent="0.35">
      <c r="B6" s="5" t="s">
        <v>3</v>
      </c>
      <c r="C6" s="5">
        <v>0</v>
      </c>
      <c r="D6" s="5">
        <v>0</v>
      </c>
      <c r="E6" s="5">
        <v>0</v>
      </c>
      <c r="F6" s="5">
        <v>1</v>
      </c>
      <c r="G6" s="5">
        <v>0</v>
      </c>
      <c r="H6" s="5">
        <v>1</v>
      </c>
      <c r="I6" s="5">
        <v>1</v>
      </c>
      <c r="J6" s="5">
        <v>0</v>
      </c>
    </row>
    <row r="7" spans="2:13" x14ac:dyDescent="0.35">
      <c r="B7" s="5" t="s">
        <v>4</v>
      </c>
      <c r="C7" s="5">
        <v>0</v>
      </c>
      <c r="D7" s="5">
        <v>0</v>
      </c>
      <c r="E7" s="5">
        <v>0</v>
      </c>
      <c r="F7" s="5">
        <v>0</v>
      </c>
      <c r="G7" s="5">
        <v>1</v>
      </c>
      <c r="H7" s="5">
        <v>1</v>
      </c>
      <c r="I7" s="5">
        <v>1</v>
      </c>
      <c r="J7" s="5">
        <v>0</v>
      </c>
    </row>
    <row r="8" spans="2:13" x14ac:dyDescent="0.35">
      <c r="B8" s="5" t="s">
        <v>5</v>
      </c>
      <c r="C8" s="5">
        <v>1</v>
      </c>
      <c r="D8" s="5">
        <v>0</v>
      </c>
      <c r="E8" s="5">
        <v>0</v>
      </c>
      <c r="F8" s="5">
        <v>0</v>
      </c>
      <c r="G8" s="5">
        <v>0</v>
      </c>
      <c r="H8" s="5">
        <v>0</v>
      </c>
      <c r="I8" s="5">
        <v>1</v>
      </c>
      <c r="J8" s="5">
        <v>1</v>
      </c>
    </row>
    <row r="10" spans="2:13" ht="15" thickBot="1" x14ac:dyDescent="0.4"/>
    <row r="11" spans="2:13" ht="14.5" customHeight="1" x14ac:dyDescent="0.35">
      <c r="B11" s="12" t="s">
        <v>46</v>
      </c>
      <c r="C11" s="13"/>
      <c r="D11" s="13"/>
      <c r="E11" s="13"/>
      <c r="F11" s="13"/>
      <c r="G11" s="13"/>
      <c r="H11" s="13"/>
      <c r="I11" s="13"/>
      <c r="J11" s="14"/>
    </row>
    <row r="12" spans="2:13" x14ac:dyDescent="0.35">
      <c r="B12" s="15"/>
      <c r="C12" s="16"/>
      <c r="D12" s="16"/>
      <c r="E12" s="16"/>
      <c r="F12" s="16"/>
      <c r="G12" s="16"/>
      <c r="H12" s="16"/>
      <c r="I12" s="16"/>
      <c r="J12" s="17"/>
    </row>
    <row r="13" spans="2:13" x14ac:dyDescent="0.35">
      <c r="B13" s="15"/>
      <c r="C13" s="16"/>
      <c r="D13" s="16"/>
      <c r="E13" s="16"/>
      <c r="F13" s="16"/>
      <c r="G13" s="16"/>
      <c r="H13" s="16"/>
      <c r="I13" s="16"/>
      <c r="J13" s="17"/>
    </row>
    <row r="14" spans="2:13" x14ac:dyDescent="0.35">
      <c r="B14" s="15"/>
      <c r="C14" s="16"/>
      <c r="D14" s="16"/>
      <c r="E14" s="16"/>
      <c r="F14" s="16"/>
      <c r="G14" s="16"/>
      <c r="H14" s="16"/>
      <c r="I14" s="16"/>
      <c r="J14" s="17"/>
    </row>
    <row r="15" spans="2:13" x14ac:dyDescent="0.35">
      <c r="B15" s="15"/>
      <c r="C15" s="16"/>
      <c r="D15" s="16"/>
      <c r="E15" s="16"/>
      <c r="F15" s="16"/>
      <c r="G15" s="16"/>
      <c r="H15" s="16"/>
      <c r="I15" s="16"/>
      <c r="J15" s="17"/>
      <c r="L15" s="3" t="s">
        <v>6</v>
      </c>
      <c r="M15" s="3" t="s">
        <v>7</v>
      </c>
    </row>
    <row r="16" spans="2:13" ht="29" x14ac:dyDescent="0.35">
      <c r="B16" s="15"/>
      <c r="C16" s="16"/>
      <c r="D16" s="16"/>
      <c r="E16" s="16"/>
      <c r="F16" s="16"/>
      <c r="G16" s="16"/>
      <c r="H16" s="16"/>
      <c r="I16" s="16"/>
      <c r="J16" s="17"/>
      <c r="L16" s="1" t="s">
        <v>2</v>
      </c>
      <c r="M16" s="2" t="s">
        <v>9</v>
      </c>
    </row>
    <row r="17" spans="2:13" ht="72.5" x14ac:dyDescent="0.35">
      <c r="B17" s="15"/>
      <c r="C17" s="16"/>
      <c r="D17" s="16"/>
      <c r="E17" s="16"/>
      <c r="F17" s="16"/>
      <c r="G17" s="16"/>
      <c r="H17" s="16"/>
      <c r="I17" s="16"/>
      <c r="J17" s="17"/>
      <c r="L17" s="1" t="s">
        <v>8</v>
      </c>
      <c r="M17" s="2" t="s">
        <v>32</v>
      </c>
    </row>
    <row r="18" spans="2:13" ht="43.5" x14ac:dyDescent="0.35">
      <c r="B18" s="15"/>
      <c r="C18" s="16"/>
      <c r="D18" s="16"/>
      <c r="E18" s="16"/>
      <c r="F18" s="16"/>
      <c r="G18" s="16"/>
      <c r="H18" s="16"/>
      <c r="I18" s="16"/>
      <c r="J18" s="17"/>
      <c r="L18" s="1" t="s">
        <v>4</v>
      </c>
      <c r="M18" s="2" t="s">
        <v>10</v>
      </c>
    </row>
    <row r="19" spans="2:13" ht="15" thickBot="1" x14ac:dyDescent="0.4">
      <c r="B19" s="18"/>
      <c r="C19" s="19"/>
      <c r="D19" s="19"/>
      <c r="E19" s="19"/>
      <c r="F19" s="19"/>
      <c r="G19" s="19"/>
      <c r="H19" s="19"/>
      <c r="I19" s="19"/>
      <c r="J19" s="20"/>
      <c r="L19" s="1" t="s">
        <v>5</v>
      </c>
      <c r="M19" s="2" t="s">
        <v>11</v>
      </c>
    </row>
  </sheetData>
  <mergeCells count="1">
    <mergeCell ref="B11:J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D3</vt:lpstr>
      <vt:lpstr>D5</vt:lpstr>
      <vt:lpstr>D6</vt:lpstr>
      <vt:lpstr>D7</vt:lpstr>
      <vt:lpstr>D8</vt:lpstr>
      <vt:lpstr>D9</vt:lpstr>
      <vt:lpstr>D10</vt:lpstr>
      <vt:lpstr>D13</vt:lpstr>
      <vt:lpstr>D15</vt:lpstr>
      <vt:lpstr>D16</vt:lpstr>
      <vt:lpstr>D21</vt:lpstr>
      <vt:lpstr>D23</vt:lpstr>
      <vt:lpstr>D24</vt:lpstr>
      <vt:lpstr>D26</vt:lpstr>
      <vt:lpstr>D28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Iván Zimmermann Rodríguez-Peña</dc:creator>
  <cp:lastModifiedBy>Iván Zimmermann Rodríguez-Peña</cp:lastModifiedBy>
  <dcterms:created xsi:type="dcterms:W3CDTF">2024-12-22T23:53:50Z</dcterms:created>
  <dcterms:modified xsi:type="dcterms:W3CDTF">2025-01-05T16:23:16Z</dcterms:modified>
</cp:coreProperties>
</file>