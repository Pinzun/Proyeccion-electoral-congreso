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Ivan\Desktop\Ivan\Laboral\EstrategiaSur\GitProjects\Proyeccion-electoral-congreso\Resultados\Entregable\"/>
    </mc:Choice>
  </mc:AlternateContent>
  <xr:revisionPtr revIDLastSave="0" documentId="13_ncr:1_{4CA2527A-7708-4F4C-83FA-F0546B042E5A}" xr6:coauthVersionLast="47" xr6:coauthVersionMax="47" xr10:uidLastSave="{00000000-0000-0000-0000-000000000000}"/>
  <bookViews>
    <workbookView xWindow="-28920" yWindow="1665" windowWidth="29040" windowHeight="15720" activeTab="15" xr2:uid="{85AAF8D7-1A96-46DE-A921-B4694576F524}"/>
  </bookViews>
  <sheets>
    <sheet name="Resumen de Pactos" sheetId="32" r:id="rId1"/>
    <sheet name="D3" sheetId="1" r:id="rId2"/>
    <sheet name="D5" sheetId="16" r:id="rId3"/>
    <sheet name="D6" sheetId="17" r:id="rId4"/>
    <sheet name="D7" sheetId="18" r:id="rId5"/>
    <sheet name="D9" sheetId="20" r:id="rId6"/>
    <sheet name="D8" sheetId="19" r:id="rId7"/>
    <sheet name="D10" sheetId="21" r:id="rId8"/>
    <sheet name="D13" sheetId="22" r:id="rId9"/>
    <sheet name="D15" sheetId="23" r:id="rId10"/>
    <sheet name="D16" sheetId="24" r:id="rId11"/>
    <sheet name="D21" sheetId="25" r:id="rId12"/>
    <sheet name="D23" sheetId="26" r:id="rId13"/>
    <sheet name="D24" sheetId="27" r:id="rId14"/>
    <sheet name="D26" sheetId="28" r:id="rId15"/>
    <sheet name="D28" sheetId="29" r:id="rId16"/>
  </sheets>
  <externalReferences>
    <externalReference r:id="rId17"/>
    <externalReference r:id="rId18"/>
    <externalReference r:id="rId19"/>
    <externalReference r:id="rId20"/>
    <externalReference r:id="rId21"/>
    <externalReference r:id="rId22"/>
    <externalReference r:id="rId23"/>
    <externalReference r:id="rId24"/>
    <externalReference r:id="rId2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24" l="1"/>
  <c r="H11" i="24"/>
  <c r="H10" i="24"/>
  <c r="H9" i="24"/>
  <c r="H8" i="24"/>
  <c r="H7" i="24"/>
  <c r="H6" i="24"/>
  <c r="H5" i="24"/>
  <c r="H4" i="24"/>
  <c r="H12" i="23"/>
  <c r="H11" i="23"/>
  <c r="H10" i="23"/>
  <c r="H9" i="23"/>
  <c r="H8" i="23"/>
  <c r="H7" i="23"/>
  <c r="H6" i="23"/>
  <c r="H5" i="23"/>
  <c r="H4" i="23"/>
  <c r="H12" i="22"/>
  <c r="H11" i="22"/>
  <c r="H10" i="22"/>
  <c r="H9" i="22"/>
  <c r="H8" i="22"/>
  <c r="H7" i="22"/>
  <c r="H6" i="22"/>
  <c r="H5" i="22"/>
  <c r="H4" i="22"/>
  <c r="J12" i="21"/>
  <c r="J11" i="21"/>
  <c r="J10" i="21"/>
  <c r="J9" i="21"/>
  <c r="J8" i="21"/>
  <c r="J7" i="21"/>
  <c r="J6" i="21"/>
  <c r="J5" i="21"/>
  <c r="J4" i="21"/>
  <c r="J12" i="20"/>
  <c r="J11" i="20"/>
  <c r="J10" i="20"/>
  <c r="J9" i="20"/>
  <c r="J8" i="20"/>
  <c r="J7" i="20"/>
  <c r="J6" i="20"/>
  <c r="J5" i="20"/>
  <c r="J4" i="20"/>
  <c r="K12" i="17"/>
  <c r="K11" i="17"/>
  <c r="K10" i="17"/>
  <c r="K9" i="17"/>
  <c r="K8" i="17"/>
  <c r="K7" i="17"/>
  <c r="K6" i="17"/>
  <c r="K5" i="17"/>
  <c r="K4" i="17"/>
  <c r="L12" i="17"/>
  <c r="J12" i="17"/>
  <c r="I12" i="17"/>
  <c r="H12" i="17"/>
  <c r="G12" i="17"/>
  <c r="F12" i="17"/>
  <c r="E12" i="17"/>
  <c r="D12" i="17"/>
  <c r="C12" i="17"/>
  <c r="K12" i="18"/>
  <c r="J12" i="18"/>
  <c r="I12" i="18"/>
  <c r="H12" i="18"/>
  <c r="G12" i="18"/>
  <c r="F12" i="18"/>
  <c r="E12" i="18"/>
  <c r="D12" i="18"/>
  <c r="C12" i="18"/>
  <c r="K12" i="20"/>
  <c r="I12" i="20"/>
  <c r="H12" i="20"/>
  <c r="G12" i="20"/>
  <c r="F12" i="20"/>
  <c r="E12" i="20"/>
  <c r="D12" i="20"/>
  <c r="C12" i="20"/>
  <c r="J12" i="19"/>
  <c r="I12" i="19"/>
  <c r="H12" i="19"/>
  <c r="G12" i="19"/>
  <c r="F12" i="19"/>
  <c r="E12" i="19"/>
  <c r="D12" i="19"/>
  <c r="C12" i="19"/>
  <c r="K12" i="21"/>
  <c r="I12" i="21"/>
  <c r="H12" i="21"/>
  <c r="G12" i="21"/>
  <c r="F12" i="21"/>
  <c r="E12" i="21"/>
  <c r="D12" i="21"/>
  <c r="C12" i="21"/>
  <c r="I12" i="22"/>
  <c r="G12" i="22"/>
  <c r="F12" i="22"/>
  <c r="E12" i="22"/>
  <c r="D12" i="22"/>
  <c r="C12" i="22"/>
  <c r="J12" i="23"/>
  <c r="I12" i="23"/>
  <c r="G12" i="23"/>
  <c r="F12" i="23"/>
  <c r="E12" i="23"/>
  <c r="D12" i="23"/>
  <c r="C12" i="23"/>
  <c r="I12" i="24"/>
  <c r="G12" i="24"/>
  <c r="F12" i="24"/>
  <c r="E12" i="24"/>
  <c r="D12" i="24"/>
  <c r="C12" i="24"/>
  <c r="K12" i="25"/>
  <c r="J12" i="25"/>
  <c r="I12" i="25"/>
  <c r="H12" i="25"/>
  <c r="G12" i="25"/>
  <c r="F12" i="25"/>
  <c r="E12" i="25"/>
  <c r="D12" i="25"/>
  <c r="C12" i="25"/>
  <c r="K12" i="26"/>
  <c r="J12" i="26"/>
  <c r="I12" i="26"/>
  <c r="H12" i="26"/>
  <c r="G12" i="26"/>
  <c r="F12" i="26"/>
  <c r="E12" i="26"/>
  <c r="D12" i="26"/>
  <c r="C12" i="26"/>
  <c r="I12" i="27"/>
  <c r="H12" i="27"/>
  <c r="G12" i="27"/>
  <c r="F12" i="27"/>
  <c r="E12" i="27"/>
  <c r="D12" i="27"/>
  <c r="C12" i="27"/>
  <c r="I12" i="28"/>
  <c r="H12" i="28"/>
  <c r="G12" i="28"/>
  <c r="F12" i="28"/>
  <c r="E12" i="28"/>
  <c r="D12" i="28"/>
  <c r="C12" i="28"/>
  <c r="J12" i="29"/>
  <c r="I12" i="29"/>
  <c r="H12" i="29"/>
  <c r="G12" i="29"/>
  <c r="F12" i="29"/>
  <c r="E12" i="29"/>
  <c r="D12" i="29"/>
  <c r="C12" i="29"/>
  <c r="N12" i="1"/>
  <c r="M12" i="1"/>
  <c r="L12" i="1"/>
  <c r="K12" i="1"/>
  <c r="J12" i="1"/>
  <c r="I12" i="1"/>
  <c r="H12" i="1"/>
  <c r="G12" i="1"/>
  <c r="F12" i="1"/>
  <c r="E12" i="1"/>
  <c r="D12" i="1"/>
  <c r="C12" i="1"/>
  <c r="K12" i="16"/>
  <c r="J12" i="16"/>
  <c r="I12" i="16"/>
  <c r="H12" i="16"/>
  <c r="G12" i="16"/>
  <c r="F12" i="16"/>
  <c r="E12" i="16"/>
  <c r="D12" i="16"/>
  <c r="C12" i="16"/>
  <c r="K11" i="16"/>
  <c r="J11" i="16"/>
  <c r="I11" i="16"/>
  <c r="H11" i="16"/>
  <c r="G11" i="16"/>
  <c r="F11" i="16"/>
  <c r="E11" i="16"/>
  <c r="D11" i="16"/>
  <c r="C11" i="16"/>
  <c r="L11" i="17"/>
  <c r="J11" i="17"/>
  <c r="I11" i="17"/>
  <c r="H11" i="17"/>
  <c r="G11" i="17"/>
  <c r="F11" i="17"/>
  <c r="E11" i="17"/>
  <c r="D11" i="17"/>
  <c r="C11" i="17"/>
  <c r="K11" i="18"/>
  <c r="J11" i="18"/>
  <c r="I11" i="18"/>
  <c r="H11" i="18"/>
  <c r="G11" i="18"/>
  <c r="F11" i="18"/>
  <c r="E11" i="18"/>
  <c r="D11" i="18"/>
  <c r="C11" i="18"/>
  <c r="K11" i="20"/>
  <c r="I11" i="20"/>
  <c r="H11" i="20"/>
  <c r="G11" i="20"/>
  <c r="F11" i="20"/>
  <c r="E11" i="20"/>
  <c r="D11" i="20"/>
  <c r="C11" i="20"/>
  <c r="J11" i="19"/>
  <c r="I11" i="19"/>
  <c r="H11" i="19"/>
  <c r="G11" i="19"/>
  <c r="F11" i="19"/>
  <c r="E11" i="19"/>
  <c r="D11" i="19"/>
  <c r="C11" i="19"/>
  <c r="K11" i="21"/>
  <c r="I11" i="21"/>
  <c r="H11" i="21"/>
  <c r="G11" i="21"/>
  <c r="F11" i="21"/>
  <c r="E11" i="21"/>
  <c r="D11" i="21"/>
  <c r="C11" i="21"/>
  <c r="I11" i="22"/>
  <c r="G11" i="22"/>
  <c r="F11" i="22"/>
  <c r="E11" i="22"/>
  <c r="D11" i="22"/>
  <c r="C11" i="22"/>
  <c r="J11" i="23"/>
  <c r="I11" i="23"/>
  <c r="G11" i="23"/>
  <c r="F11" i="23"/>
  <c r="E11" i="23"/>
  <c r="D11" i="23"/>
  <c r="C11" i="23"/>
  <c r="I11" i="24"/>
  <c r="G11" i="24"/>
  <c r="F11" i="24"/>
  <c r="E11" i="24"/>
  <c r="D11" i="24"/>
  <c r="C11" i="24"/>
  <c r="K11" i="25"/>
  <c r="J11" i="25"/>
  <c r="I11" i="25"/>
  <c r="H11" i="25"/>
  <c r="G11" i="25"/>
  <c r="F11" i="25"/>
  <c r="E11" i="25"/>
  <c r="D11" i="25"/>
  <c r="C11" i="25"/>
  <c r="K11" i="26"/>
  <c r="J11" i="26"/>
  <c r="I11" i="26"/>
  <c r="H11" i="26"/>
  <c r="G11" i="26"/>
  <c r="F11" i="26"/>
  <c r="E11" i="26"/>
  <c r="D11" i="26"/>
  <c r="C11" i="26"/>
  <c r="I11" i="27"/>
  <c r="H11" i="27"/>
  <c r="G11" i="27"/>
  <c r="F11" i="27"/>
  <c r="E11" i="27"/>
  <c r="D11" i="27"/>
  <c r="C11" i="27"/>
  <c r="I11" i="28"/>
  <c r="H11" i="28"/>
  <c r="G11" i="28"/>
  <c r="F11" i="28"/>
  <c r="E11" i="28"/>
  <c r="D11" i="28"/>
  <c r="C11" i="28"/>
  <c r="J11" i="29"/>
  <c r="I11" i="29"/>
  <c r="H11" i="29"/>
  <c r="G11" i="29"/>
  <c r="F11" i="29"/>
  <c r="E11" i="29"/>
  <c r="D11" i="29"/>
  <c r="C11" i="29"/>
  <c r="N11" i="1"/>
  <c r="M11" i="1"/>
  <c r="L11" i="1"/>
  <c r="K11" i="1"/>
  <c r="J11" i="1"/>
  <c r="I11" i="1"/>
  <c r="H11" i="1"/>
  <c r="G11" i="1"/>
  <c r="F11" i="1"/>
  <c r="E11" i="1"/>
  <c r="D11" i="1"/>
  <c r="C11" i="1"/>
  <c r="N9" i="1"/>
  <c r="M9" i="1"/>
  <c r="L9" i="1"/>
  <c r="K9" i="1"/>
  <c r="J9" i="1"/>
  <c r="I9" i="1"/>
  <c r="H9" i="1"/>
  <c r="G9" i="1"/>
  <c r="F9" i="1"/>
  <c r="E9" i="1"/>
  <c r="D9" i="1"/>
  <c r="C9" i="1"/>
  <c r="L9" i="17"/>
  <c r="J9" i="17"/>
  <c r="I9" i="17"/>
  <c r="H9" i="17"/>
  <c r="G9" i="17"/>
  <c r="F9" i="17"/>
  <c r="E9" i="17"/>
  <c r="D9" i="17"/>
  <c r="C9" i="17"/>
  <c r="K9" i="18"/>
  <c r="J9" i="18"/>
  <c r="I9" i="18"/>
  <c r="H9" i="18"/>
  <c r="G9" i="18"/>
  <c r="F9" i="18"/>
  <c r="E9" i="18"/>
  <c r="D9" i="18"/>
  <c r="C9" i="18"/>
  <c r="K9" i="20"/>
  <c r="I9" i="20"/>
  <c r="H9" i="20"/>
  <c r="G9" i="20"/>
  <c r="F9" i="20"/>
  <c r="E9" i="20"/>
  <c r="D9" i="20"/>
  <c r="C9" i="20"/>
  <c r="J9" i="19"/>
  <c r="I9" i="19"/>
  <c r="H9" i="19"/>
  <c r="G9" i="19"/>
  <c r="F9" i="19"/>
  <c r="E9" i="19"/>
  <c r="D9" i="19"/>
  <c r="C9" i="19"/>
  <c r="K9" i="21"/>
  <c r="I9" i="21"/>
  <c r="H9" i="21"/>
  <c r="G9" i="21"/>
  <c r="F9" i="21"/>
  <c r="E9" i="21"/>
  <c r="D9" i="21"/>
  <c r="C9" i="21"/>
  <c r="I9" i="22"/>
  <c r="G9" i="22"/>
  <c r="F9" i="22"/>
  <c r="E9" i="22"/>
  <c r="D9" i="22"/>
  <c r="C9" i="22"/>
  <c r="J9" i="23"/>
  <c r="I9" i="23"/>
  <c r="G9" i="23"/>
  <c r="F9" i="23"/>
  <c r="E9" i="23"/>
  <c r="D9" i="23"/>
  <c r="C9" i="23"/>
  <c r="I9" i="24"/>
  <c r="G9" i="24"/>
  <c r="F9" i="24"/>
  <c r="E9" i="24"/>
  <c r="D9" i="24"/>
  <c r="C9" i="24"/>
  <c r="K9" i="25"/>
  <c r="J9" i="25"/>
  <c r="I9" i="25"/>
  <c r="H9" i="25"/>
  <c r="G9" i="25"/>
  <c r="F9" i="25"/>
  <c r="E9" i="25"/>
  <c r="D9" i="25"/>
  <c r="C9" i="25"/>
  <c r="K9" i="26"/>
  <c r="J9" i="26"/>
  <c r="I9" i="26"/>
  <c r="H9" i="26"/>
  <c r="G9" i="26"/>
  <c r="F9" i="26"/>
  <c r="E9" i="26"/>
  <c r="D9" i="26"/>
  <c r="C9" i="26"/>
  <c r="I9" i="27"/>
  <c r="H9" i="27"/>
  <c r="G9" i="27"/>
  <c r="F9" i="27"/>
  <c r="E9" i="27"/>
  <c r="D9" i="27"/>
  <c r="C9" i="27"/>
  <c r="I9" i="28"/>
  <c r="H9" i="28"/>
  <c r="G9" i="28"/>
  <c r="F9" i="28"/>
  <c r="E9" i="28"/>
  <c r="D9" i="28"/>
  <c r="C9" i="28"/>
  <c r="J9" i="29"/>
  <c r="I9" i="29"/>
  <c r="H9" i="29"/>
  <c r="G9" i="29"/>
  <c r="F9" i="29"/>
  <c r="E9" i="29"/>
  <c r="D9" i="29"/>
  <c r="C9" i="29"/>
  <c r="K9" i="16"/>
  <c r="J9" i="16"/>
  <c r="I9" i="16"/>
  <c r="H9" i="16"/>
  <c r="G9" i="16"/>
  <c r="F9" i="16"/>
  <c r="E9" i="16"/>
  <c r="D9" i="16"/>
  <c r="C9" i="16"/>
  <c r="K10" i="16"/>
  <c r="J10" i="16"/>
  <c r="I10" i="16"/>
  <c r="H10" i="16"/>
  <c r="G10" i="16"/>
  <c r="F10" i="16"/>
  <c r="E10" i="16"/>
  <c r="D10" i="16"/>
  <c r="C10" i="16"/>
  <c r="L10" i="17"/>
  <c r="J10" i="17"/>
  <c r="I10" i="17"/>
  <c r="H10" i="17"/>
  <c r="G10" i="17"/>
  <c r="F10" i="17"/>
  <c r="E10" i="17"/>
  <c r="D10" i="17"/>
  <c r="C10" i="17"/>
  <c r="K10" i="18"/>
  <c r="J10" i="18"/>
  <c r="I10" i="18"/>
  <c r="H10" i="18"/>
  <c r="G10" i="18"/>
  <c r="F10" i="18"/>
  <c r="E10" i="18"/>
  <c r="D10" i="18"/>
  <c r="C10" i="18"/>
  <c r="K10" i="20"/>
  <c r="I10" i="20"/>
  <c r="H10" i="20"/>
  <c r="G10" i="20"/>
  <c r="F10" i="20"/>
  <c r="E10" i="20"/>
  <c r="D10" i="20"/>
  <c r="C10" i="20"/>
  <c r="J10" i="19"/>
  <c r="I10" i="19"/>
  <c r="H10" i="19"/>
  <c r="G10" i="19"/>
  <c r="F10" i="19"/>
  <c r="E10" i="19"/>
  <c r="D10" i="19"/>
  <c r="C10" i="19"/>
  <c r="K10" i="21"/>
  <c r="I10" i="21"/>
  <c r="H10" i="21"/>
  <c r="G10" i="21"/>
  <c r="F10" i="21"/>
  <c r="E10" i="21"/>
  <c r="D10" i="21"/>
  <c r="C10" i="21"/>
  <c r="I10" i="22"/>
  <c r="G10" i="22"/>
  <c r="F10" i="22"/>
  <c r="E10" i="22"/>
  <c r="D10" i="22"/>
  <c r="C10" i="22"/>
  <c r="J10" i="23"/>
  <c r="I10" i="23"/>
  <c r="G10" i="23"/>
  <c r="F10" i="23"/>
  <c r="E10" i="23"/>
  <c r="D10" i="23"/>
  <c r="C10" i="23"/>
  <c r="I10" i="24"/>
  <c r="G10" i="24"/>
  <c r="F10" i="24"/>
  <c r="E10" i="24"/>
  <c r="D10" i="24"/>
  <c r="C10" i="24"/>
  <c r="K10" i="25"/>
  <c r="J10" i="25"/>
  <c r="I10" i="25"/>
  <c r="H10" i="25"/>
  <c r="G10" i="25"/>
  <c r="F10" i="25"/>
  <c r="E10" i="25"/>
  <c r="D10" i="25"/>
  <c r="C10" i="25"/>
  <c r="K10" i="26"/>
  <c r="J10" i="26"/>
  <c r="I10" i="26"/>
  <c r="H10" i="26"/>
  <c r="G10" i="26"/>
  <c r="F10" i="26"/>
  <c r="E10" i="26"/>
  <c r="D10" i="26"/>
  <c r="C10" i="26"/>
  <c r="I10" i="27"/>
  <c r="H10" i="27"/>
  <c r="G10" i="27"/>
  <c r="F10" i="27"/>
  <c r="E10" i="27"/>
  <c r="D10" i="27"/>
  <c r="C10" i="27"/>
  <c r="I10" i="28"/>
  <c r="H10" i="28"/>
  <c r="G10" i="28"/>
  <c r="F10" i="28"/>
  <c r="E10" i="28"/>
  <c r="D10" i="28"/>
  <c r="C10" i="28"/>
  <c r="J10" i="29"/>
  <c r="I10" i="29"/>
  <c r="H10" i="29"/>
  <c r="G10" i="29"/>
  <c r="F10" i="29"/>
  <c r="E10" i="29"/>
  <c r="D10" i="29"/>
  <c r="C10" i="29"/>
  <c r="N10" i="1"/>
  <c r="M10" i="1"/>
  <c r="L10" i="1"/>
  <c r="K10" i="1"/>
  <c r="J10" i="1"/>
  <c r="I10" i="1"/>
  <c r="H10" i="1"/>
  <c r="G10" i="1"/>
  <c r="F10" i="1"/>
  <c r="E10" i="1"/>
  <c r="D10" i="1"/>
  <c r="C10" i="1"/>
  <c r="N8" i="1"/>
  <c r="M8" i="1"/>
  <c r="L8" i="1"/>
  <c r="K8" i="1"/>
  <c r="J8" i="1"/>
  <c r="I8" i="1"/>
  <c r="H8" i="1"/>
  <c r="G8" i="1"/>
  <c r="F8" i="1"/>
  <c r="E8" i="1"/>
  <c r="D8" i="1"/>
  <c r="C8" i="1"/>
  <c r="L8" i="17"/>
  <c r="J8" i="17"/>
  <c r="I8" i="17"/>
  <c r="H8" i="17"/>
  <c r="G8" i="17"/>
  <c r="F8" i="17"/>
  <c r="E8" i="17"/>
  <c r="D8" i="17"/>
  <c r="C8" i="17"/>
  <c r="K8" i="18"/>
  <c r="J8" i="18"/>
  <c r="I8" i="18"/>
  <c r="H8" i="18"/>
  <c r="G8" i="18"/>
  <c r="F8" i="18"/>
  <c r="E8" i="18"/>
  <c r="D8" i="18"/>
  <c r="C8" i="18"/>
  <c r="K8" i="20"/>
  <c r="I8" i="20"/>
  <c r="H8" i="20"/>
  <c r="G8" i="20"/>
  <c r="F8" i="20"/>
  <c r="E8" i="20"/>
  <c r="D8" i="20"/>
  <c r="C8" i="20"/>
  <c r="J8" i="19"/>
  <c r="I8" i="19"/>
  <c r="H8" i="19"/>
  <c r="G8" i="19"/>
  <c r="F8" i="19"/>
  <c r="E8" i="19"/>
  <c r="D8" i="19"/>
  <c r="C8" i="19"/>
  <c r="K8" i="21"/>
  <c r="I8" i="21"/>
  <c r="H8" i="21"/>
  <c r="G8" i="21"/>
  <c r="F8" i="21"/>
  <c r="E8" i="21"/>
  <c r="D8" i="21"/>
  <c r="C8" i="21"/>
  <c r="I8" i="22"/>
  <c r="G8" i="22"/>
  <c r="F8" i="22"/>
  <c r="E8" i="22"/>
  <c r="D8" i="22"/>
  <c r="C8" i="22"/>
  <c r="J8" i="23"/>
  <c r="I8" i="23"/>
  <c r="G8" i="23"/>
  <c r="F8" i="23"/>
  <c r="E8" i="23"/>
  <c r="D8" i="23"/>
  <c r="C8" i="23"/>
  <c r="I8" i="24"/>
  <c r="G8" i="24"/>
  <c r="F8" i="24"/>
  <c r="E8" i="24"/>
  <c r="D8" i="24"/>
  <c r="C8" i="24"/>
  <c r="K8" i="25"/>
  <c r="J8" i="25"/>
  <c r="I8" i="25"/>
  <c r="H8" i="25"/>
  <c r="G8" i="25"/>
  <c r="F8" i="25"/>
  <c r="E8" i="25"/>
  <c r="D8" i="25"/>
  <c r="C8" i="25"/>
  <c r="K8" i="26"/>
  <c r="J8" i="26"/>
  <c r="I8" i="26"/>
  <c r="H8" i="26"/>
  <c r="G8" i="26"/>
  <c r="F8" i="26"/>
  <c r="E8" i="26"/>
  <c r="D8" i="26"/>
  <c r="C8" i="26"/>
  <c r="I8" i="27"/>
  <c r="H8" i="27"/>
  <c r="G8" i="27"/>
  <c r="F8" i="27"/>
  <c r="E8" i="27"/>
  <c r="D8" i="27"/>
  <c r="C8" i="27"/>
  <c r="I8" i="28"/>
  <c r="H8" i="28"/>
  <c r="G8" i="28"/>
  <c r="F8" i="28"/>
  <c r="E8" i="28"/>
  <c r="D8" i="28"/>
  <c r="C8" i="28"/>
  <c r="J8" i="29"/>
  <c r="I8" i="29"/>
  <c r="H8" i="29"/>
  <c r="G8" i="29"/>
  <c r="F8" i="29"/>
  <c r="E8" i="29"/>
  <c r="D8" i="29"/>
  <c r="C8" i="29"/>
  <c r="K8" i="16"/>
  <c r="J8" i="16"/>
  <c r="I8" i="16"/>
  <c r="H8" i="16"/>
  <c r="G8" i="16"/>
  <c r="F8" i="16"/>
  <c r="E8" i="16"/>
  <c r="D8" i="16"/>
  <c r="C8" i="16"/>
  <c r="K6" i="16"/>
  <c r="J6" i="16"/>
  <c r="I6" i="16"/>
  <c r="H6" i="16"/>
  <c r="G6" i="16"/>
  <c r="F6" i="16"/>
  <c r="E6" i="16"/>
  <c r="D6" i="16"/>
  <c r="C6" i="16"/>
  <c r="L6" i="17"/>
  <c r="J6" i="17"/>
  <c r="I6" i="17"/>
  <c r="H6" i="17"/>
  <c r="G6" i="17"/>
  <c r="F6" i="17"/>
  <c r="E6" i="17"/>
  <c r="D6" i="17"/>
  <c r="C6" i="17"/>
  <c r="K6" i="18"/>
  <c r="J6" i="18"/>
  <c r="I6" i="18"/>
  <c r="H6" i="18"/>
  <c r="G6" i="18"/>
  <c r="F6" i="18"/>
  <c r="E6" i="18"/>
  <c r="D6" i="18"/>
  <c r="C6" i="18"/>
  <c r="K6" i="20"/>
  <c r="I6" i="20"/>
  <c r="H6" i="20"/>
  <c r="G6" i="20"/>
  <c r="F6" i="20"/>
  <c r="E6" i="20"/>
  <c r="D6" i="20"/>
  <c r="C6" i="20"/>
  <c r="J6" i="19"/>
  <c r="I6" i="19"/>
  <c r="H6" i="19"/>
  <c r="G6" i="19"/>
  <c r="F6" i="19"/>
  <c r="E6" i="19"/>
  <c r="D6" i="19"/>
  <c r="C6" i="19"/>
  <c r="K6" i="21"/>
  <c r="I6" i="21"/>
  <c r="H6" i="21"/>
  <c r="G6" i="21"/>
  <c r="F6" i="21"/>
  <c r="E6" i="21"/>
  <c r="D6" i="21"/>
  <c r="C6" i="21"/>
  <c r="I6" i="22"/>
  <c r="G6" i="22"/>
  <c r="F6" i="22"/>
  <c r="E6" i="22"/>
  <c r="D6" i="22"/>
  <c r="C6" i="22"/>
  <c r="J6" i="23"/>
  <c r="I6" i="23"/>
  <c r="G6" i="23"/>
  <c r="F6" i="23"/>
  <c r="E6" i="23"/>
  <c r="D6" i="23"/>
  <c r="C6" i="23"/>
  <c r="I6" i="24"/>
  <c r="G6" i="24"/>
  <c r="F6" i="24"/>
  <c r="E6" i="24"/>
  <c r="D6" i="24"/>
  <c r="C6" i="24"/>
  <c r="K6" i="25"/>
  <c r="J6" i="25"/>
  <c r="I6" i="25"/>
  <c r="H6" i="25"/>
  <c r="G6" i="25"/>
  <c r="F6" i="25"/>
  <c r="E6" i="25"/>
  <c r="D6" i="25"/>
  <c r="C6" i="25"/>
  <c r="K6" i="26"/>
  <c r="J6" i="26"/>
  <c r="I6" i="26"/>
  <c r="H6" i="26"/>
  <c r="G6" i="26"/>
  <c r="F6" i="26"/>
  <c r="E6" i="26"/>
  <c r="D6" i="26"/>
  <c r="C6" i="26"/>
  <c r="I6" i="27"/>
  <c r="H6" i="27"/>
  <c r="G6" i="27"/>
  <c r="F6" i="27"/>
  <c r="E6" i="27"/>
  <c r="D6" i="27"/>
  <c r="C6" i="27"/>
  <c r="I6" i="28"/>
  <c r="H6" i="28"/>
  <c r="G6" i="28"/>
  <c r="F6" i="28"/>
  <c r="E6" i="28"/>
  <c r="D6" i="28"/>
  <c r="C6" i="28"/>
  <c r="J6" i="29"/>
  <c r="I6" i="29"/>
  <c r="H6" i="29"/>
  <c r="G6" i="29"/>
  <c r="F6" i="29"/>
  <c r="E6" i="29"/>
  <c r="D6" i="29"/>
  <c r="C6" i="29"/>
  <c r="N6" i="1"/>
  <c r="M6" i="1"/>
  <c r="L6" i="1"/>
  <c r="K6" i="1"/>
  <c r="J6" i="1"/>
  <c r="I6" i="1"/>
  <c r="H6" i="1"/>
  <c r="G6" i="1"/>
  <c r="F6" i="1"/>
  <c r="E6" i="1"/>
  <c r="D6" i="1"/>
  <c r="C6" i="1"/>
  <c r="N5" i="1"/>
  <c r="M5" i="1"/>
  <c r="L5" i="1"/>
  <c r="K5" i="1"/>
  <c r="J5" i="1"/>
  <c r="I5" i="1"/>
  <c r="H5" i="1"/>
  <c r="G5" i="1"/>
  <c r="F5" i="1"/>
  <c r="E5" i="1"/>
  <c r="D5" i="1"/>
  <c r="C5" i="1"/>
  <c r="L5" i="17"/>
  <c r="J5" i="17"/>
  <c r="I5" i="17"/>
  <c r="H5" i="17"/>
  <c r="G5" i="17"/>
  <c r="F5" i="17"/>
  <c r="E5" i="17"/>
  <c r="D5" i="17"/>
  <c r="C5" i="17"/>
  <c r="K5" i="18"/>
  <c r="J5" i="18"/>
  <c r="I5" i="18"/>
  <c r="H5" i="18"/>
  <c r="G5" i="18"/>
  <c r="F5" i="18"/>
  <c r="E5" i="18"/>
  <c r="D5" i="18"/>
  <c r="C5" i="18"/>
  <c r="K5" i="20"/>
  <c r="I5" i="20"/>
  <c r="H5" i="20"/>
  <c r="G5" i="20"/>
  <c r="F5" i="20"/>
  <c r="E5" i="20"/>
  <c r="D5" i="20"/>
  <c r="C5" i="20"/>
  <c r="J5" i="19"/>
  <c r="I5" i="19"/>
  <c r="H5" i="19"/>
  <c r="G5" i="19"/>
  <c r="F5" i="19"/>
  <c r="E5" i="19"/>
  <c r="D5" i="19"/>
  <c r="C5" i="19"/>
  <c r="K5" i="21"/>
  <c r="I5" i="21"/>
  <c r="H5" i="21"/>
  <c r="G5" i="21"/>
  <c r="F5" i="21"/>
  <c r="E5" i="21"/>
  <c r="D5" i="21"/>
  <c r="C5" i="21"/>
  <c r="I5" i="22"/>
  <c r="G5" i="22"/>
  <c r="F5" i="22"/>
  <c r="E5" i="22"/>
  <c r="D5" i="22"/>
  <c r="C5" i="22"/>
  <c r="J5" i="23"/>
  <c r="I5" i="23"/>
  <c r="G5" i="23"/>
  <c r="F5" i="23"/>
  <c r="E5" i="23"/>
  <c r="D5" i="23"/>
  <c r="C5" i="23"/>
  <c r="I5" i="24"/>
  <c r="G5" i="24"/>
  <c r="F5" i="24"/>
  <c r="E5" i="24"/>
  <c r="D5" i="24"/>
  <c r="C5" i="24"/>
  <c r="K5" i="25"/>
  <c r="J5" i="25"/>
  <c r="I5" i="25"/>
  <c r="H5" i="25"/>
  <c r="G5" i="25"/>
  <c r="F5" i="25"/>
  <c r="E5" i="25"/>
  <c r="D5" i="25"/>
  <c r="C5" i="25"/>
  <c r="K5" i="26"/>
  <c r="J5" i="26"/>
  <c r="I5" i="26"/>
  <c r="H5" i="26"/>
  <c r="G5" i="26"/>
  <c r="F5" i="26"/>
  <c r="E5" i="26"/>
  <c r="D5" i="26"/>
  <c r="C5" i="26"/>
  <c r="I5" i="27"/>
  <c r="H5" i="27"/>
  <c r="G5" i="27"/>
  <c r="F5" i="27"/>
  <c r="E5" i="27"/>
  <c r="D5" i="27"/>
  <c r="C5" i="27"/>
  <c r="I5" i="28"/>
  <c r="H5" i="28"/>
  <c r="G5" i="28"/>
  <c r="F5" i="28"/>
  <c r="E5" i="28"/>
  <c r="D5" i="28"/>
  <c r="C5" i="28"/>
  <c r="J5" i="29"/>
  <c r="I5" i="29"/>
  <c r="H5" i="29"/>
  <c r="G5" i="29"/>
  <c r="F5" i="29"/>
  <c r="E5" i="29"/>
  <c r="D5" i="29"/>
  <c r="C5" i="29"/>
  <c r="K5" i="16"/>
  <c r="J5" i="16"/>
  <c r="I5" i="16"/>
  <c r="H5" i="16"/>
  <c r="G5" i="16"/>
  <c r="F5" i="16"/>
  <c r="E5" i="16"/>
  <c r="D5" i="16"/>
  <c r="C5" i="16"/>
  <c r="K7" i="16"/>
  <c r="J7" i="16"/>
  <c r="I7" i="16"/>
  <c r="H7" i="16"/>
  <c r="G7" i="16"/>
  <c r="F7" i="16"/>
  <c r="E7" i="16"/>
  <c r="D7" i="16"/>
  <c r="C7" i="16"/>
  <c r="L7" i="17"/>
  <c r="J7" i="17"/>
  <c r="I7" i="17"/>
  <c r="H7" i="17"/>
  <c r="G7" i="17"/>
  <c r="F7" i="17"/>
  <c r="E7" i="17"/>
  <c r="D7" i="17"/>
  <c r="C7" i="17"/>
  <c r="K7" i="18"/>
  <c r="J7" i="18"/>
  <c r="I7" i="18"/>
  <c r="H7" i="18"/>
  <c r="G7" i="18"/>
  <c r="F7" i="18"/>
  <c r="E7" i="18"/>
  <c r="D7" i="18"/>
  <c r="C7" i="18"/>
  <c r="K7" i="20"/>
  <c r="I7" i="20"/>
  <c r="H7" i="20"/>
  <c r="G7" i="20"/>
  <c r="F7" i="20"/>
  <c r="E7" i="20"/>
  <c r="D7" i="20"/>
  <c r="C7" i="20"/>
  <c r="J7" i="19"/>
  <c r="I7" i="19"/>
  <c r="H7" i="19"/>
  <c r="G7" i="19"/>
  <c r="F7" i="19"/>
  <c r="E7" i="19"/>
  <c r="D7" i="19"/>
  <c r="C7" i="19"/>
  <c r="K7" i="21"/>
  <c r="I7" i="21"/>
  <c r="H7" i="21"/>
  <c r="G7" i="21"/>
  <c r="F7" i="21"/>
  <c r="E7" i="21"/>
  <c r="D7" i="21"/>
  <c r="C7" i="21"/>
  <c r="I7" i="22"/>
  <c r="G7" i="22"/>
  <c r="F7" i="22"/>
  <c r="E7" i="22"/>
  <c r="D7" i="22"/>
  <c r="C7" i="22"/>
  <c r="J7" i="23"/>
  <c r="I7" i="23"/>
  <c r="G7" i="23"/>
  <c r="F7" i="23"/>
  <c r="E7" i="23"/>
  <c r="D7" i="23"/>
  <c r="C7" i="23"/>
  <c r="I7" i="24"/>
  <c r="G7" i="24"/>
  <c r="F7" i="24"/>
  <c r="E7" i="24"/>
  <c r="D7" i="24"/>
  <c r="C7" i="24"/>
  <c r="K7" i="25"/>
  <c r="J7" i="25"/>
  <c r="I7" i="25"/>
  <c r="H7" i="25"/>
  <c r="G7" i="25"/>
  <c r="F7" i="25"/>
  <c r="E7" i="25"/>
  <c r="D7" i="25"/>
  <c r="C7" i="25"/>
  <c r="K7" i="26"/>
  <c r="J7" i="26"/>
  <c r="I7" i="26"/>
  <c r="H7" i="26"/>
  <c r="G7" i="26"/>
  <c r="F7" i="26"/>
  <c r="E7" i="26"/>
  <c r="D7" i="26"/>
  <c r="C7" i="26"/>
  <c r="I7" i="27"/>
  <c r="H7" i="27"/>
  <c r="G7" i="27"/>
  <c r="F7" i="27"/>
  <c r="E7" i="27"/>
  <c r="D7" i="27"/>
  <c r="C7" i="27"/>
  <c r="I7" i="28"/>
  <c r="H7" i="28"/>
  <c r="G7" i="28"/>
  <c r="F7" i="28"/>
  <c r="E7" i="28"/>
  <c r="D7" i="28"/>
  <c r="C7" i="28"/>
  <c r="N7" i="1"/>
  <c r="M7" i="1"/>
  <c r="L7" i="1"/>
  <c r="K7" i="1"/>
  <c r="J7" i="1"/>
  <c r="I7" i="1"/>
  <c r="H7" i="1"/>
  <c r="G7" i="1"/>
  <c r="F7" i="1"/>
  <c r="E7" i="1"/>
  <c r="D7" i="1"/>
  <c r="C7" i="1"/>
  <c r="J7" i="29"/>
  <c r="I7" i="29"/>
  <c r="H7" i="29"/>
  <c r="G7" i="29"/>
  <c r="F7" i="29"/>
  <c r="E7" i="29"/>
  <c r="D7" i="29"/>
  <c r="C7" i="29"/>
  <c r="J4" i="19"/>
  <c r="I4" i="19"/>
  <c r="H4" i="19"/>
  <c r="G4" i="19"/>
  <c r="F4" i="19"/>
  <c r="E4" i="19"/>
  <c r="D4" i="19"/>
  <c r="K4" i="20"/>
  <c r="I4" i="20"/>
  <c r="H4" i="20"/>
  <c r="G4" i="20"/>
  <c r="F4" i="20"/>
  <c r="E4" i="20"/>
  <c r="D4" i="20"/>
  <c r="K4" i="21"/>
  <c r="I4" i="21"/>
  <c r="H4" i="21"/>
  <c r="G4" i="21"/>
  <c r="F4" i="21"/>
  <c r="E4" i="21"/>
  <c r="D4" i="21"/>
  <c r="I4" i="22"/>
  <c r="G4" i="22"/>
  <c r="F4" i="22"/>
  <c r="E4" i="22"/>
  <c r="D4" i="22"/>
  <c r="J4" i="23"/>
  <c r="I4" i="23"/>
  <c r="G4" i="23"/>
  <c r="F4" i="23"/>
  <c r="E4" i="23"/>
  <c r="D4" i="23"/>
  <c r="I4" i="24"/>
  <c r="G4" i="24"/>
  <c r="F4" i="24"/>
  <c r="E4" i="24"/>
  <c r="D4" i="24"/>
  <c r="K4" i="25"/>
  <c r="J4" i="25"/>
  <c r="I4" i="25"/>
  <c r="H4" i="25"/>
  <c r="G4" i="25"/>
  <c r="F4" i="25"/>
  <c r="E4" i="25"/>
  <c r="D4" i="25"/>
  <c r="K4" i="26"/>
  <c r="J4" i="26"/>
  <c r="I4" i="26"/>
  <c r="H4" i="26"/>
  <c r="G4" i="26"/>
  <c r="F4" i="26"/>
  <c r="E4" i="26"/>
  <c r="D4" i="26"/>
  <c r="I4" i="27"/>
  <c r="H4" i="27"/>
  <c r="G4" i="27"/>
  <c r="F4" i="27"/>
  <c r="E4" i="27"/>
  <c r="D4" i="27"/>
  <c r="C4" i="27"/>
  <c r="I4" i="28"/>
  <c r="H4" i="28"/>
  <c r="G4" i="28"/>
  <c r="F4" i="28"/>
  <c r="E4" i="28"/>
  <c r="D4" i="28"/>
  <c r="J4" i="29"/>
  <c r="I4" i="29"/>
  <c r="H4" i="29"/>
  <c r="G4" i="29"/>
  <c r="F4" i="29"/>
  <c r="E4" i="29"/>
  <c r="D4" i="29"/>
  <c r="C4" i="29"/>
  <c r="C4" i="28"/>
  <c r="C4" i="26"/>
  <c r="C4" i="25"/>
  <c r="C4" i="24"/>
  <c r="C4" i="23"/>
  <c r="C4" i="22"/>
  <c r="C4" i="21"/>
  <c r="C4" i="20"/>
  <c r="C4" i="19"/>
  <c r="K4" i="18"/>
  <c r="J4" i="18"/>
  <c r="I4" i="18"/>
  <c r="H4" i="18"/>
  <c r="G4" i="18"/>
  <c r="F4" i="18"/>
  <c r="E4" i="18"/>
  <c r="D4" i="18"/>
  <c r="C4" i="18"/>
  <c r="L4" i="17"/>
  <c r="J4" i="17"/>
  <c r="I4" i="17"/>
  <c r="H4" i="17"/>
  <c r="G4" i="17"/>
  <c r="F4" i="17"/>
  <c r="E4" i="17"/>
  <c r="D4" i="17"/>
  <c r="C4" i="17"/>
  <c r="K4" i="16"/>
  <c r="J4" i="16"/>
  <c r="I4" i="16"/>
  <c r="H4" i="16"/>
  <c r="G4" i="16"/>
  <c r="F4" i="16"/>
  <c r="E4" i="16"/>
  <c r="D4" i="16"/>
  <c r="C4" i="16"/>
  <c r="N4" i="1"/>
  <c r="M4" i="1"/>
  <c r="L4" i="1"/>
  <c r="K4" i="1"/>
  <c r="J4" i="1"/>
  <c r="I4" i="1"/>
  <c r="H4" i="1"/>
  <c r="G4" i="1"/>
  <c r="F4" i="1"/>
  <c r="E4" i="1"/>
  <c r="D4" i="1"/>
  <c r="C4" i="1"/>
</calcChain>
</file>

<file path=xl/sharedStrings.xml><?xml version="1.0" encoding="utf-8"?>
<sst xmlns="http://schemas.openxmlformats.org/spreadsheetml/2006/main" count="672" uniqueCount="76">
  <si>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</si>
  <si>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</si>
  <si>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</si>
  <si>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</si>
  <si>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</si>
  <si>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</si>
  <si>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</si>
  <si>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</si>
  <si>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</si>
  <si>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</si>
  <si>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</si>
  <si>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</si>
  <si>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</si>
  <si>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</si>
  <si>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</si>
  <si>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</si>
  <si>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</si>
  <si>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</si>
  <si>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</si>
  <si>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</si>
  <si>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</si>
  <si>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</si>
  <si>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</si>
  <si>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</si>
  <si>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</si>
  <si>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</si>
  <si>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</si>
  <si>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</si>
  <si>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</si>
  <si>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</si>
  <si>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</si>
  <si>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</si>
  <si>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</si>
  <si>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</si>
  <si>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</si>
  <si>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</si>
  <si>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</si>
  <si>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</si>
  <si>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</si>
  <si>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</si>
  <si>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</si>
  <si>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</si>
  <si>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</si>
  <si>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</si>
  <si>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</si>
  <si>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</si>
  <si>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</si>
  <si>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</si>
  <si>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</si>
  <si>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</si>
  <si>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</si>
  <si>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</si>
  <si>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</si>
  <si>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</si>
  <si>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</si>
  <si>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</si>
  <si>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</si>
  <si>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</si>
  <si>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</si>
  <si>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</si>
  <si>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</si>
  <si>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</si>
  <si>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</si>
  <si>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</si>
  <si>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Hay que estar atentos a la definición que tome Bianchi. El modelo no fue capaz de predecir la votación de su figura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</si>
  <si>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</si>
  <si>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</si>
  <si>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y Mauricio Ojeda como diputados del Partido Republicano. Considerar el posible desfuero a Mauricio Ojeda.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</si>
  <si>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diputada de RN, Cristobal Urriticoechea como diputado del partido Republicano.</t>
    </r>
    <r>
      <rPr>
        <b/>
        <sz val="11"/>
        <color theme="1"/>
        <rFont val="Aptos Narrow"/>
        <family val="2"/>
        <scheme val="minor"/>
      </rPr>
      <t xml:space="preserve">
-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</si>
  <si>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se señala como diputada del FREVS, Marta Gonzalez como diputada del PPD y Natalia Romero como diputada de la UDI.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</si>
  <si>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</si>
  <si>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</si>
  <si>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</si>
  <si>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</si>
  <si>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</si>
  <si>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Para observar el modelo con el factor de incumbencias revisar el archivo "Reporte_Dip.xlsx"</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</si>
</sst>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43">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cellXfs>
  <cellStyles count="2">
    <cellStyle name="Normal" xfId="0" builtinId="0"/>
    <cellStyle name="Porcentaje" xfId="1" builtinId="5"/>
  </cellStyles>
  <dxfs count="115">
    <dxf>
      <fill>
        <patternFill>
          <bgColor rgb="FF0070C0"/>
        </patternFill>
      </fill>
    </dxf>
    <dxf>
      <fill>
        <patternFill>
          <bgColor rgb="FFFF0000"/>
        </patternFill>
      </fill>
    </dxf>
    <dxf>
      <fill>
        <patternFill>
          <bgColor theme="5" tint="-0.499984740745262"/>
        </patternFill>
      </fill>
    </dxf>
    <dxf>
      <fill>
        <patternFill>
          <bgColor rgb="FF7030A0"/>
        </patternFill>
      </fill>
    </dxf>
    <dxf>
      <fill>
        <patternFill>
          <bgColor rgb="FF00B050"/>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ABAB"/>
        </patternFill>
      </fill>
    </dxf>
    <dxf>
      <font>
        <color theme="0"/>
      </font>
      <fill>
        <patternFill>
          <bgColor theme="1"/>
        </patternFill>
      </fill>
    </dxf>
    <dxf>
      <fill>
        <patternFill>
          <bgColor rgb="FFFFFF00"/>
        </patternFill>
      </fill>
    </dxf>
    <dxf>
      <fill>
        <patternFill>
          <bgColor theme="9" tint="0.79998168889431442"/>
        </patternFill>
      </fill>
    </dxf>
    <dxf>
      <fill>
        <patternFill>
          <bgColor theme="7" tint="0.59996337778862885"/>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FF0000"/>
        </patternFill>
      </fill>
    </dxf>
    <dxf>
      <fill>
        <patternFill>
          <bgColor rgb="FFFFC000"/>
        </patternFill>
      </fill>
    </dxf>
    <dxf>
      <fill>
        <patternFill>
          <bgColor theme="8" tint="0.79998168889431442"/>
        </patternFill>
      </fill>
    </dxf>
    <dxf>
      <fill>
        <patternFill>
          <bgColor theme="2" tint="-0.24994659260841701"/>
        </patternFill>
      </fill>
    </dxf>
    <dxf>
      <fill>
        <patternFill>
          <bgColor theme="7" tint="0.59996337778862885"/>
        </patternFill>
      </fill>
    </dxf>
    <dxf>
      <font>
        <color theme="0"/>
      </font>
      <fill>
        <patternFill>
          <bgColor theme="1"/>
        </patternFill>
      </fill>
    </dxf>
    <dxf>
      <fill>
        <patternFill>
          <bgColor rgb="FFFFFF00"/>
        </patternFill>
      </fill>
    </dxf>
    <dxf>
      <fill>
        <patternFill>
          <bgColor theme="9" tint="0.79998168889431442"/>
        </patternFill>
      </fill>
    </dxf>
    <dxf>
      <fill>
        <patternFill>
          <bgColor rgb="FFFFABAB"/>
        </patternFill>
      </fill>
    </dxf>
    <dxf>
      <fill>
        <patternFill>
          <bgColor rgb="FF00B050"/>
        </patternFill>
      </fill>
    </dxf>
    <dxf>
      <fill>
        <patternFill>
          <bgColor rgb="FF0070C0"/>
        </patternFill>
      </fill>
    </dxf>
    <dxf>
      <fill>
        <patternFill>
          <bgColor rgb="FF7030A0"/>
        </patternFill>
      </fill>
    </dxf>
    <dxf>
      <fill>
        <patternFill>
          <bgColor rgb="FFFFC000"/>
        </patternFill>
      </fill>
    </dxf>
    <dxf>
      <fill>
        <patternFill>
          <bgColor theme="2" tint="-0.24994659260841701"/>
        </patternFill>
      </fill>
    </dxf>
    <dxf>
      <fill>
        <patternFill>
          <bgColor theme="5" tint="-0.499984740745262"/>
        </patternFill>
      </fill>
    </dxf>
    <dxf>
      <fill>
        <patternFill>
          <bgColor rgb="FFFF0000"/>
        </patternFill>
      </fill>
    </dxf>
    <dxf>
      <fill>
        <patternFill>
          <bgColor theme="2" tint="-0.24994659260841701"/>
        </patternFill>
      </fill>
    </dxf>
    <dxf>
      <fill>
        <patternFill>
          <bgColor theme="5" tint="-0.499984740745262"/>
        </patternFill>
      </fill>
    </dxf>
    <dxf>
      <fill>
        <patternFill>
          <bgColor rgb="FF00B050"/>
        </patternFill>
      </fill>
    </dxf>
    <dxf>
      <fill>
        <patternFill>
          <bgColor rgb="FF7030A0"/>
        </patternFill>
      </fill>
    </dxf>
    <dxf>
      <fill>
        <patternFill>
          <bgColor theme="8" tint="0.79998168889431442"/>
        </patternFill>
      </fill>
    </dxf>
    <dxf>
      <fill>
        <patternFill>
          <bgColor rgb="FF0070C0"/>
        </patternFill>
      </fill>
    </dxf>
    <dxf>
      <fill>
        <patternFill>
          <bgColor rgb="FFFF0000"/>
        </patternFill>
      </fill>
    </dxf>
    <dxf>
      <fill>
        <patternFill>
          <bgColor rgb="FFFFC000"/>
        </patternFill>
      </fill>
    </dxf>
    <dxf>
      <fill>
        <patternFill>
          <bgColor rgb="FFFFFF00"/>
        </patternFill>
      </fill>
    </dxf>
    <dxf>
      <fill>
        <patternFill>
          <bgColor theme="9" tint="0.79998168889431442"/>
        </patternFill>
      </fill>
    </dxf>
    <dxf>
      <fill>
        <patternFill>
          <bgColor rgb="FFFFABAB"/>
        </patternFill>
      </fill>
    </dxf>
    <dxf>
      <font>
        <color theme="0"/>
      </font>
      <fill>
        <patternFill>
          <bgColor theme="1"/>
        </patternFill>
      </fill>
    </dxf>
    <dxf>
      <fill>
        <patternFill>
          <bgColor theme="7" tint="0.59996337778862885"/>
        </patternFill>
      </fill>
    </dxf>
    <dxf>
      <fill>
        <patternFill>
          <bgColor rgb="FFFF0000"/>
        </patternFill>
      </fill>
    </dxf>
    <dxf>
      <fill>
        <patternFill>
          <bgColor rgb="FF00B050"/>
        </patternFill>
      </fill>
    </dxf>
    <dxf>
      <fill>
        <patternFill>
          <bgColor rgb="FFFFC000"/>
        </patternFill>
      </fill>
    </dxf>
    <dxf>
      <fill>
        <patternFill>
          <bgColor rgb="FF7030A0"/>
        </patternFill>
      </fill>
    </dxf>
    <dxf>
      <fill>
        <patternFill>
          <bgColor rgb="FF0070C0"/>
        </patternFill>
      </fill>
    </dxf>
    <dxf>
      <fill>
        <patternFill>
          <bgColor theme="2" tint="-0.24994659260841701"/>
        </patternFill>
      </fill>
    </dxf>
    <dxf>
      <fill>
        <patternFill>
          <bgColor theme="5" tint="-0.499984740745262"/>
        </patternFill>
      </fill>
    </dxf>
    <dxf>
      <fill>
        <patternFill>
          <bgColor theme="8" tint="0.79998168889431442"/>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theme="9" tint="0.79998168889431442"/>
        </patternFill>
      </fill>
    </dxf>
    <dxf>
      <fill>
        <patternFill>
          <bgColor rgb="FFFFFF00"/>
        </patternFill>
      </fill>
    </dxf>
    <dxf>
      <font>
        <color theme="0"/>
      </font>
      <fill>
        <patternFill>
          <bgColor theme="1"/>
        </patternFill>
      </fill>
    </dxf>
    <dxf>
      <fill>
        <patternFill>
          <bgColor rgb="FFFFABAB"/>
        </patternFill>
      </fill>
    </dxf>
    <dxf>
      <fill>
        <patternFill>
          <bgColor theme="7" tint="0.59996337778862885"/>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FFC000"/>
        </patternFill>
      </fill>
    </dxf>
    <dxf>
      <fill>
        <patternFill>
          <bgColor rgb="FF0070C0"/>
        </patternFill>
      </fill>
    </dxf>
    <dxf>
      <fill>
        <patternFill>
          <bgColor rgb="FF7030A0"/>
        </patternFill>
      </fill>
    </dxf>
    <dxf>
      <fill>
        <patternFill>
          <bgColor rgb="FF00B050"/>
        </patternFill>
      </fill>
    </dxf>
    <dxf>
      <fill>
        <patternFill>
          <bgColor theme="8" tint="0.79998168889431442"/>
        </patternFill>
      </fill>
    </dxf>
    <dxf>
      <fill>
        <patternFill>
          <bgColor theme="5" tint="-0.499984740745262"/>
        </patternFill>
      </fill>
    </dxf>
    <dxf>
      <fill>
        <patternFill>
          <bgColor theme="2" tint="-0.24994659260841701"/>
        </patternFill>
      </fill>
    </dxf>
    <dxf>
      <fill>
        <patternFill>
          <bgColor rgb="FFFF0000"/>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00B050"/>
        </patternFill>
      </fill>
    </dxf>
    <dxf>
      <fill>
        <patternFill>
          <bgColor rgb="FF7030A0"/>
        </patternFill>
      </fill>
    </dxf>
    <dxf>
      <fill>
        <patternFill>
          <bgColor rgb="FF0070C0"/>
        </patternFill>
      </fill>
    </dxf>
    <dxf>
      <fill>
        <patternFill>
          <bgColor rgb="FFFF0000"/>
        </patternFill>
      </fill>
    </dxf>
    <dxf>
      <fill>
        <patternFill>
          <bgColor theme="2" tint="-0.24994659260841701"/>
        </patternFill>
      </fill>
    </dxf>
    <dxf>
      <fill>
        <patternFill>
          <bgColor theme="5" tint="-0.499984740745262"/>
        </patternFill>
      </fill>
    </dxf>
    <dxf>
      <fill>
        <patternFill>
          <bgColor rgb="FFFFC000"/>
        </patternFill>
      </fill>
    </dxf>
    <dxf>
      <fill>
        <patternFill>
          <bgColor theme="8" tint="0.79998168889431442"/>
        </patternFill>
      </fill>
    </dxf>
    <dxf>
      <fill>
        <patternFill>
          <bgColor rgb="FF0070C0"/>
        </patternFill>
      </fill>
    </dxf>
    <dxf>
      <fill>
        <patternFill>
          <bgColor rgb="FFFFC000"/>
        </patternFill>
      </fill>
    </dxf>
    <dxf>
      <fill>
        <patternFill>
          <bgColor theme="2" tint="-0.24994659260841701"/>
        </patternFill>
      </fill>
    </dxf>
    <dxf>
      <fill>
        <patternFill>
          <bgColor theme="5" tint="-0.499984740745262"/>
        </patternFill>
      </fill>
    </dxf>
    <dxf>
      <fill>
        <patternFill>
          <bgColor rgb="FF00B050"/>
        </patternFill>
      </fill>
    </dxf>
    <dxf>
      <fill>
        <patternFill>
          <bgColor rgb="FF7030A0"/>
        </patternFill>
      </fill>
    </dxf>
    <dxf>
      <fill>
        <patternFill>
          <bgColor rgb="FFFF000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0070C0"/>
        </patternFill>
      </fill>
    </dxf>
    <dxf>
      <fill>
        <patternFill>
          <bgColor rgb="FFFF0000"/>
        </patternFill>
      </fill>
    </dxf>
    <dxf>
      <fill>
        <patternFill>
          <bgColor rgb="FF7030A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8.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7.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6.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image" Target="../media/image6.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8.png"/></Relationships>
</file>

<file path=xl/drawings/_rels/drawing13.xml.rels><?xml version="1.0" encoding="UTF-8" standalone="yes"?>
<Relationships xmlns="http://schemas.openxmlformats.org/package/2006/relationships"><Relationship Id="rId1" Type="http://schemas.openxmlformats.org/officeDocument/2006/relationships/image" Target="../media/image8.png"/></Relationships>
</file>

<file path=xl/drawings/_rels/drawing14.xml.rels><?xml version="1.0" encoding="UTF-8" standalone="yes"?>
<Relationships xmlns="http://schemas.openxmlformats.org/package/2006/relationships"><Relationship Id="rId1" Type="http://schemas.openxmlformats.org/officeDocument/2006/relationships/image" Target="../media/image9.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13599</xdr:rowOff>
    </xdr:to>
    <xdr:pic>
      <xdr:nvPicPr>
        <xdr:cNvPr id="2" name="Imagen 1">
          <a:extLst>
            <a:ext uri="{FF2B5EF4-FFF2-40B4-BE49-F238E27FC236}">
              <a16:creationId xmlns:a16="http://schemas.microsoft.com/office/drawing/2014/main" id="{062922E4-BF1D-43D1-8169-2A772A60860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9626" y="5868213"/>
          <a:ext cx="4448174" cy="555711"/>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9" name="Imagen 8">
          <a:extLst>
            <a:ext uri="{FF2B5EF4-FFF2-40B4-BE49-F238E27FC236}">
              <a16:creationId xmlns:a16="http://schemas.microsoft.com/office/drawing/2014/main" id="{A2A312F9-2DFE-40C0-B00A-B4F5669007D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868213"/>
          <a:ext cx="4444999" cy="549361"/>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11" name="Imagen 10">
          <a:extLst>
            <a:ext uri="{FF2B5EF4-FFF2-40B4-BE49-F238E27FC236}">
              <a16:creationId xmlns:a16="http://schemas.microsoft.com/office/drawing/2014/main" id="{46900199-EB6E-4126-93A8-D3513A9A934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868213"/>
          <a:ext cx="4448174" cy="552536"/>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12" name="Imagen 11">
          <a:extLst>
            <a:ext uri="{FF2B5EF4-FFF2-40B4-BE49-F238E27FC236}">
              <a16:creationId xmlns:a16="http://schemas.microsoft.com/office/drawing/2014/main" id="{93D81DFD-0E7F-4D90-9B60-60F8C01063B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5851" y="5868213"/>
          <a:ext cx="4448174" cy="552536"/>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13" name="Imagen 12">
          <a:extLst>
            <a:ext uri="{FF2B5EF4-FFF2-40B4-BE49-F238E27FC236}">
              <a16:creationId xmlns:a16="http://schemas.microsoft.com/office/drawing/2014/main" id="{1DCB3C95-6A37-49A7-864D-A037785005A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8826" y="5868213"/>
          <a:ext cx="4448174" cy="549361"/>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14" name="Imagen 13">
          <a:extLst>
            <a:ext uri="{FF2B5EF4-FFF2-40B4-BE49-F238E27FC236}">
              <a16:creationId xmlns:a16="http://schemas.microsoft.com/office/drawing/2014/main" id="{35C7F400-C14A-4A8B-8AD2-433E72E9058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868213"/>
          <a:ext cx="4441824" cy="552536"/>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15" name="Imagen 14">
          <a:extLst>
            <a:ext uri="{FF2B5EF4-FFF2-40B4-BE49-F238E27FC236}">
              <a16:creationId xmlns:a16="http://schemas.microsoft.com/office/drawing/2014/main" id="{022A9296-BA67-4B28-99E4-FC87F4DC237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8426" y="5868213"/>
          <a:ext cx="4448174" cy="5525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1035050</xdr:colOff>
      <xdr:row>23</xdr:row>
      <xdr:rowOff>63500</xdr:rowOff>
    </xdr:from>
    <xdr:to>
      <xdr:col>10</xdr:col>
      <xdr:colOff>323850</xdr:colOff>
      <xdr:row>26</xdr:row>
      <xdr:rowOff>25987</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8400" y="5083175"/>
          <a:ext cx="3975100" cy="5054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24</xdr:row>
      <xdr:rowOff>28575</xdr:rowOff>
    </xdr:from>
    <xdr:to>
      <xdr:col>10</xdr:col>
      <xdr:colOff>400050</xdr:colOff>
      <xdr:row>27</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23</xdr:row>
      <xdr:rowOff>133350</xdr:rowOff>
    </xdr:from>
    <xdr:to>
      <xdr:col>10</xdr:col>
      <xdr:colOff>323850</xdr:colOff>
      <xdr:row>27</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10</xdr:col>
      <xdr:colOff>276225</xdr:colOff>
      <xdr:row>27</xdr:row>
      <xdr:rowOff>106981</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161926</xdr:colOff>
      <xdr:row>23</xdr:row>
      <xdr:rowOff>120651</xdr:rowOff>
    </xdr:from>
    <xdr:to>
      <xdr:col>10</xdr:col>
      <xdr:colOff>76201</xdr:colOff>
      <xdr:row>26</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6" y="5149851"/>
          <a:ext cx="4581525"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76200</xdr:colOff>
      <xdr:row>23</xdr:row>
      <xdr:rowOff>95250</xdr:rowOff>
    </xdr:from>
    <xdr:to>
      <xdr:col>9</xdr:col>
      <xdr:colOff>263525</xdr:colOff>
      <xdr:row>26</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438150</xdr:colOff>
      <xdr:row>23</xdr:row>
      <xdr:rowOff>133350</xdr:rowOff>
    </xdr:from>
    <xdr:to>
      <xdr:col>10</xdr:col>
      <xdr:colOff>273050</xdr:colOff>
      <xdr:row>26</xdr:row>
      <xdr:rowOff>173849</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8175" y="4524375"/>
          <a:ext cx="4581525" cy="58342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8</xdr:col>
      <xdr:colOff>27267</xdr:colOff>
      <xdr:row>26</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114300</xdr:colOff>
      <xdr:row>24</xdr:row>
      <xdr:rowOff>38100</xdr:rowOff>
    </xdr:from>
    <xdr:to>
      <xdr:col>8</xdr:col>
      <xdr:colOff>255867</xdr:colOff>
      <xdr:row>27</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752475</xdr:colOff>
      <xdr:row>24</xdr:row>
      <xdr:rowOff>0</xdr:rowOff>
    </xdr:from>
    <xdr:to>
      <xdr:col>7</xdr:col>
      <xdr:colOff>440017</xdr:colOff>
      <xdr:row>26</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10</xdr:col>
      <xdr:colOff>275904</xdr:colOff>
      <xdr:row>27</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10</xdr:col>
      <xdr:colOff>352104</xdr:colOff>
      <xdr:row>27</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xdr:colOff>
      <xdr:row>24</xdr:row>
      <xdr:rowOff>0</xdr:rowOff>
    </xdr:from>
    <xdr:to>
      <xdr:col>9</xdr:col>
      <xdr:colOff>9526</xdr:colOff>
      <xdr:row>27</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8</xdr:col>
      <xdr:colOff>219075</xdr:colOff>
      <xdr:row>27</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180975</xdr:colOff>
      <xdr:row>23</xdr:row>
      <xdr:rowOff>171450</xdr:rowOff>
    </xdr:from>
    <xdr:to>
      <xdr:col>9</xdr:col>
      <xdr:colOff>66675</xdr:colOff>
      <xdr:row>26</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art.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art.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Con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Conv.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Cons.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Con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Mun.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Mun.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1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1_CHV1.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1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1_CHV.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2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2_CHV1.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2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2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Unnamed: 0</v>
          </cell>
          <cell r="C1" t="str">
            <v>AH</v>
          </cell>
          <cell r="D1" t="str">
            <v>AMA</v>
          </cell>
          <cell r="E1" t="str">
            <v>DEM</v>
          </cell>
          <cell r="F1" t="str">
            <v>EVO</v>
          </cell>
          <cell r="G1" t="str">
            <v>FA</v>
          </cell>
          <cell r="H1" t="str">
            <v>FREVS</v>
          </cell>
          <cell r="I1" t="str">
            <v>IGU</v>
          </cell>
          <cell r="J1" t="str">
            <v>IND</v>
          </cell>
          <cell r="K1" t="str">
            <v>PAVP</v>
          </cell>
          <cell r="L1" t="str">
            <v>PCCH</v>
          </cell>
          <cell r="M1" t="str">
            <v>PDC</v>
          </cell>
          <cell r="N1" t="str">
            <v>PDG</v>
          </cell>
          <cell r="O1" t="str">
            <v>PH</v>
          </cell>
          <cell r="P1" t="str">
            <v>PL</v>
          </cell>
          <cell r="Q1" t="str">
            <v>POP</v>
          </cell>
          <cell r="R1" t="str">
            <v>PPD</v>
          </cell>
          <cell r="S1" t="str">
            <v>PR</v>
          </cell>
          <cell r="T1" t="str">
            <v>PS</v>
          </cell>
          <cell r="U1" t="str">
            <v>PSC</v>
          </cell>
          <cell r="V1" t="str">
            <v>PTR</v>
          </cell>
          <cell r="W1" t="str">
            <v>REP</v>
          </cell>
          <cell r="X1" t="str">
            <v>RN</v>
          </cell>
          <cell r="Y1" t="str">
            <v>UDI</v>
          </cell>
          <cell r="Z1" t="str">
            <v>Votos Blancos</v>
          </cell>
          <cell r="AA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2</v>
          </cell>
          <cell r="X2">
            <v>1</v>
          </cell>
          <cell r="Y2">
            <v>0</v>
          </cell>
          <cell r="Z2">
            <v>0</v>
          </cell>
          <cell r="AA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2</v>
          </cell>
          <cell r="X3">
            <v>1</v>
          </cell>
          <cell r="Y3">
            <v>0</v>
          </cell>
          <cell r="Z3">
            <v>0</v>
          </cell>
          <cell r="AA3">
            <v>0</v>
          </cell>
        </row>
        <row r="4">
          <cell r="A4">
            <v>3</v>
          </cell>
          <cell r="B4">
            <v>0</v>
          </cell>
          <cell r="C4">
            <v>0</v>
          </cell>
          <cell r="D4">
            <v>0</v>
          </cell>
          <cell r="E4">
            <v>0</v>
          </cell>
          <cell r="F4">
            <v>0</v>
          </cell>
          <cell r="G4">
            <v>0</v>
          </cell>
          <cell r="H4">
            <v>1</v>
          </cell>
          <cell r="I4">
            <v>0</v>
          </cell>
          <cell r="J4">
            <v>0</v>
          </cell>
          <cell r="K4">
            <v>0</v>
          </cell>
          <cell r="L4">
            <v>1</v>
          </cell>
          <cell r="M4">
            <v>0</v>
          </cell>
          <cell r="N4">
            <v>1</v>
          </cell>
          <cell r="O4">
            <v>0</v>
          </cell>
          <cell r="P4">
            <v>0</v>
          </cell>
          <cell r="Q4">
            <v>0</v>
          </cell>
          <cell r="R4">
            <v>0</v>
          </cell>
          <cell r="S4">
            <v>0</v>
          </cell>
          <cell r="T4">
            <v>0</v>
          </cell>
          <cell r="U4">
            <v>0</v>
          </cell>
          <cell r="V4">
            <v>0</v>
          </cell>
          <cell r="W4">
            <v>1</v>
          </cell>
          <cell r="X4">
            <v>1</v>
          </cell>
          <cell r="Y4">
            <v>0</v>
          </cell>
          <cell r="Z4">
            <v>0</v>
          </cell>
          <cell r="AA4">
            <v>0</v>
          </cell>
        </row>
        <row r="5">
          <cell r="A5">
            <v>4</v>
          </cell>
          <cell r="B5">
            <v>0</v>
          </cell>
          <cell r="C5">
            <v>0</v>
          </cell>
          <cell r="D5">
            <v>0</v>
          </cell>
          <cell r="E5">
            <v>0</v>
          </cell>
          <cell r="F5">
            <v>0</v>
          </cell>
          <cell r="G5">
            <v>0</v>
          </cell>
          <cell r="H5">
            <v>1</v>
          </cell>
          <cell r="I5">
            <v>0</v>
          </cell>
          <cell r="J5">
            <v>0</v>
          </cell>
          <cell r="K5">
            <v>0</v>
          </cell>
          <cell r="L5">
            <v>1</v>
          </cell>
          <cell r="M5">
            <v>0</v>
          </cell>
          <cell r="N5">
            <v>0</v>
          </cell>
          <cell r="O5">
            <v>0</v>
          </cell>
          <cell r="P5">
            <v>0</v>
          </cell>
          <cell r="Q5">
            <v>0</v>
          </cell>
          <cell r="R5">
            <v>0</v>
          </cell>
          <cell r="S5">
            <v>0</v>
          </cell>
          <cell r="T5">
            <v>1</v>
          </cell>
          <cell r="U5">
            <v>0</v>
          </cell>
          <cell r="V5">
            <v>0</v>
          </cell>
          <cell r="W5">
            <v>1</v>
          </cell>
          <cell r="X5">
            <v>1</v>
          </cell>
          <cell r="Y5">
            <v>0</v>
          </cell>
          <cell r="Z5">
            <v>0</v>
          </cell>
          <cell r="AA5">
            <v>0</v>
          </cell>
        </row>
        <row r="6">
          <cell r="A6">
            <v>5</v>
          </cell>
          <cell r="B6">
            <v>0</v>
          </cell>
          <cell r="C6">
            <v>0</v>
          </cell>
          <cell r="D6">
            <v>0</v>
          </cell>
          <cell r="E6">
            <v>0</v>
          </cell>
          <cell r="F6">
            <v>0</v>
          </cell>
          <cell r="G6">
            <v>1</v>
          </cell>
          <cell r="H6">
            <v>0</v>
          </cell>
          <cell r="I6">
            <v>0</v>
          </cell>
          <cell r="J6">
            <v>0</v>
          </cell>
          <cell r="K6">
            <v>0</v>
          </cell>
          <cell r="L6">
            <v>1</v>
          </cell>
          <cell r="M6">
            <v>1</v>
          </cell>
          <cell r="N6">
            <v>0</v>
          </cell>
          <cell r="O6">
            <v>0</v>
          </cell>
          <cell r="P6">
            <v>0</v>
          </cell>
          <cell r="Q6">
            <v>0</v>
          </cell>
          <cell r="R6">
            <v>0</v>
          </cell>
          <cell r="S6">
            <v>0</v>
          </cell>
          <cell r="T6">
            <v>1</v>
          </cell>
          <cell r="U6">
            <v>0</v>
          </cell>
          <cell r="V6">
            <v>0</v>
          </cell>
          <cell r="W6">
            <v>1</v>
          </cell>
          <cell r="X6">
            <v>1</v>
          </cell>
          <cell r="Y6">
            <v>1</v>
          </cell>
          <cell r="Z6">
            <v>0</v>
          </cell>
          <cell r="AA6">
            <v>0</v>
          </cell>
        </row>
        <row r="7">
          <cell r="A7">
            <v>6</v>
          </cell>
          <cell r="B7">
            <v>0</v>
          </cell>
          <cell r="C7">
            <v>0</v>
          </cell>
          <cell r="D7">
            <v>0</v>
          </cell>
          <cell r="E7">
            <v>0</v>
          </cell>
          <cell r="F7">
            <v>0</v>
          </cell>
          <cell r="G7">
            <v>1</v>
          </cell>
          <cell r="H7">
            <v>0</v>
          </cell>
          <cell r="I7">
            <v>0</v>
          </cell>
          <cell r="J7">
            <v>0</v>
          </cell>
          <cell r="K7">
            <v>0</v>
          </cell>
          <cell r="L7">
            <v>1</v>
          </cell>
          <cell r="M7">
            <v>0</v>
          </cell>
          <cell r="N7">
            <v>0</v>
          </cell>
          <cell r="O7">
            <v>0</v>
          </cell>
          <cell r="P7">
            <v>0</v>
          </cell>
          <cell r="Q7">
            <v>0</v>
          </cell>
          <cell r="R7">
            <v>0</v>
          </cell>
          <cell r="S7">
            <v>0</v>
          </cell>
          <cell r="T7">
            <v>1</v>
          </cell>
          <cell r="U7">
            <v>0</v>
          </cell>
          <cell r="V7">
            <v>0</v>
          </cell>
          <cell r="W7">
            <v>2</v>
          </cell>
          <cell r="X7">
            <v>2</v>
          </cell>
          <cell r="Y7">
            <v>1</v>
          </cell>
          <cell r="Z7">
            <v>0</v>
          </cell>
          <cell r="AA7">
            <v>0</v>
          </cell>
        </row>
        <row r="8">
          <cell r="A8">
            <v>7</v>
          </cell>
          <cell r="B8">
            <v>0</v>
          </cell>
          <cell r="C8">
            <v>0</v>
          </cell>
          <cell r="D8">
            <v>0</v>
          </cell>
          <cell r="E8">
            <v>0</v>
          </cell>
          <cell r="F8">
            <v>0</v>
          </cell>
          <cell r="G8">
            <v>2</v>
          </cell>
          <cell r="H8">
            <v>0</v>
          </cell>
          <cell r="I8">
            <v>0</v>
          </cell>
          <cell r="J8">
            <v>0</v>
          </cell>
          <cell r="K8">
            <v>0</v>
          </cell>
          <cell r="L8">
            <v>1</v>
          </cell>
          <cell r="M8">
            <v>0</v>
          </cell>
          <cell r="N8">
            <v>0</v>
          </cell>
          <cell r="O8">
            <v>0</v>
          </cell>
          <cell r="P8">
            <v>0</v>
          </cell>
          <cell r="Q8">
            <v>0</v>
          </cell>
          <cell r="R8">
            <v>0</v>
          </cell>
          <cell r="S8">
            <v>0</v>
          </cell>
          <cell r="T8">
            <v>0</v>
          </cell>
          <cell r="U8">
            <v>0</v>
          </cell>
          <cell r="V8">
            <v>0</v>
          </cell>
          <cell r="W8">
            <v>3</v>
          </cell>
          <cell r="X8">
            <v>1</v>
          </cell>
          <cell r="Y8">
            <v>1</v>
          </cell>
          <cell r="Z8">
            <v>0</v>
          </cell>
          <cell r="AA8">
            <v>0</v>
          </cell>
        </row>
        <row r="9">
          <cell r="A9">
            <v>8</v>
          </cell>
          <cell r="B9">
            <v>0</v>
          </cell>
          <cell r="C9">
            <v>0</v>
          </cell>
          <cell r="D9">
            <v>0</v>
          </cell>
          <cell r="E9">
            <v>0</v>
          </cell>
          <cell r="F9">
            <v>0</v>
          </cell>
          <cell r="G9">
            <v>3</v>
          </cell>
          <cell r="H9">
            <v>0</v>
          </cell>
          <cell r="I9">
            <v>0</v>
          </cell>
          <cell r="J9">
            <v>0</v>
          </cell>
          <cell r="K9">
            <v>0</v>
          </cell>
          <cell r="L9">
            <v>1</v>
          </cell>
          <cell r="M9">
            <v>0</v>
          </cell>
          <cell r="N9">
            <v>0</v>
          </cell>
          <cell r="O9">
            <v>0</v>
          </cell>
          <cell r="P9">
            <v>0</v>
          </cell>
          <cell r="Q9">
            <v>0</v>
          </cell>
          <cell r="R9">
            <v>0</v>
          </cell>
          <cell r="S9">
            <v>0</v>
          </cell>
          <cell r="T9">
            <v>0</v>
          </cell>
          <cell r="U9">
            <v>0</v>
          </cell>
          <cell r="V9">
            <v>0</v>
          </cell>
          <cell r="W9">
            <v>2</v>
          </cell>
          <cell r="X9">
            <v>1</v>
          </cell>
          <cell r="Y9">
            <v>1</v>
          </cell>
          <cell r="Z9">
            <v>0</v>
          </cell>
          <cell r="AA9">
            <v>0</v>
          </cell>
        </row>
        <row r="10">
          <cell r="A10">
            <v>9</v>
          </cell>
          <cell r="B10">
            <v>0</v>
          </cell>
          <cell r="C10">
            <v>0</v>
          </cell>
          <cell r="D10">
            <v>0</v>
          </cell>
          <cell r="E10">
            <v>0</v>
          </cell>
          <cell r="F10">
            <v>0</v>
          </cell>
          <cell r="G10">
            <v>1</v>
          </cell>
          <cell r="H10">
            <v>0</v>
          </cell>
          <cell r="I10">
            <v>0</v>
          </cell>
          <cell r="J10">
            <v>0</v>
          </cell>
          <cell r="K10">
            <v>0</v>
          </cell>
          <cell r="L10">
            <v>2</v>
          </cell>
          <cell r="M10">
            <v>0</v>
          </cell>
          <cell r="N10">
            <v>0</v>
          </cell>
          <cell r="O10">
            <v>0</v>
          </cell>
          <cell r="P10">
            <v>0</v>
          </cell>
          <cell r="Q10">
            <v>0</v>
          </cell>
          <cell r="R10">
            <v>0</v>
          </cell>
          <cell r="S10">
            <v>0</v>
          </cell>
          <cell r="T10">
            <v>1</v>
          </cell>
          <cell r="U10">
            <v>0</v>
          </cell>
          <cell r="V10">
            <v>0</v>
          </cell>
          <cell r="W10">
            <v>1</v>
          </cell>
          <cell r="X10">
            <v>1</v>
          </cell>
          <cell r="Y10">
            <v>1</v>
          </cell>
          <cell r="Z10">
            <v>0</v>
          </cell>
          <cell r="AA10">
            <v>0</v>
          </cell>
        </row>
        <row r="11">
          <cell r="A11">
            <v>10</v>
          </cell>
          <cell r="B11">
            <v>0</v>
          </cell>
          <cell r="C11">
            <v>0</v>
          </cell>
          <cell r="D11">
            <v>0</v>
          </cell>
          <cell r="E11">
            <v>0</v>
          </cell>
          <cell r="F11">
            <v>0</v>
          </cell>
          <cell r="G11">
            <v>2</v>
          </cell>
          <cell r="H11">
            <v>0</v>
          </cell>
          <cell r="I11">
            <v>0</v>
          </cell>
          <cell r="J11">
            <v>0</v>
          </cell>
          <cell r="K11">
            <v>0</v>
          </cell>
          <cell r="L11">
            <v>1</v>
          </cell>
          <cell r="M11">
            <v>0</v>
          </cell>
          <cell r="N11">
            <v>0</v>
          </cell>
          <cell r="O11">
            <v>0</v>
          </cell>
          <cell r="P11">
            <v>0</v>
          </cell>
          <cell r="Q11">
            <v>0</v>
          </cell>
          <cell r="R11">
            <v>0</v>
          </cell>
          <cell r="S11">
            <v>0</v>
          </cell>
          <cell r="T11">
            <v>0</v>
          </cell>
          <cell r="U11">
            <v>0</v>
          </cell>
          <cell r="V11">
            <v>0</v>
          </cell>
          <cell r="W11">
            <v>2</v>
          </cell>
          <cell r="X11">
            <v>2</v>
          </cell>
          <cell r="Y11">
            <v>1</v>
          </cell>
          <cell r="Z11">
            <v>0</v>
          </cell>
          <cell r="AA11">
            <v>0</v>
          </cell>
        </row>
        <row r="12">
          <cell r="A12">
            <v>11</v>
          </cell>
          <cell r="B12">
            <v>0</v>
          </cell>
          <cell r="C12">
            <v>0</v>
          </cell>
          <cell r="D12">
            <v>0</v>
          </cell>
          <cell r="E12">
            <v>0</v>
          </cell>
          <cell r="F12">
            <v>1</v>
          </cell>
          <cell r="G12">
            <v>1</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2</v>
          </cell>
          <cell r="X12">
            <v>1</v>
          </cell>
          <cell r="Y12">
            <v>1</v>
          </cell>
          <cell r="Z12">
            <v>0</v>
          </cell>
          <cell r="AA12">
            <v>0</v>
          </cell>
        </row>
        <row r="13">
          <cell r="A13">
            <v>12</v>
          </cell>
          <cell r="B13">
            <v>0</v>
          </cell>
          <cell r="C13">
            <v>0</v>
          </cell>
          <cell r="D13">
            <v>0</v>
          </cell>
          <cell r="E13">
            <v>0</v>
          </cell>
          <cell r="F13">
            <v>0</v>
          </cell>
          <cell r="G13">
            <v>1</v>
          </cell>
          <cell r="H13">
            <v>0</v>
          </cell>
          <cell r="I13">
            <v>0</v>
          </cell>
          <cell r="J13">
            <v>0</v>
          </cell>
          <cell r="K13">
            <v>0</v>
          </cell>
          <cell r="L13">
            <v>2</v>
          </cell>
          <cell r="M13">
            <v>0</v>
          </cell>
          <cell r="N13">
            <v>0</v>
          </cell>
          <cell r="O13">
            <v>0</v>
          </cell>
          <cell r="P13">
            <v>0</v>
          </cell>
          <cell r="Q13">
            <v>0</v>
          </cell>
          <cell r="R13">
            <v>0</v>
          </cell>
          <cell r="S13">
            <v>0</v>
          </cell>
          <cell r="T13">
            <v>0</v>
          </cell>
          <cell r="U13">
            <v>0</v>
          </cell>
          <cell r="V13">
            <v>0</v>
          </cell>
          <cell r="W13">
            <v>2</v>
          </cell>
          <cell r="X13">
            <v>2</v>
          </cell>
          <cell r="Y13">
            <v>0</v>
          </cell>
          <cell r="Z13">
            <v>0</v>
          </cell>
          <cell r="AA13">
            <v>0</v>
          </cell>
        </row>
        <row r="14">
          <cell r="A14">
            <v>13</v>
          </cell>
          <cell r="B14">
            <v>0</v>
          </cell>
          <cell r="C14">
            <v>0</v>
          </cell>
          <cell r="D14">
            <v>0</v>
          </cell>
          <cell r="E14">
            <v>0</v>
          </cell>
          <cell r="F14">
            <v>0</v>
          </cell>
          <cell r="G14">
            <v>1</v>
          </cell>
          <cell r="H14">
            <v>0</v>
          </cell>
          <cell r="I14">
            <v>0</v>
          </cell>
          <cell r="J14">
            <v>0</v>
          </cell>
          <cell r="K14">
            <v>0</v>
          </cell>
          <cell r="L14">
            <v>1</v>
          </cell>
          <cell r="M14">
            <v>0</v>
          </cell>
          <cell r="N14">
            <v>0</v>
          </cell>
          <cell r="O14">
            <v>0</v>
          </cell>
          <cell r="P14">
            <v>0</v>
          </cell>
          <cell r="Q14">
            <v>0</v>
          </cell>
          <cell r="R14">
            <v>0</v>
          </cell>
          <cell r="S14">
            <v>0</v>
          </cell>
          <cell r="T14">
            <v>1</v>
          </cell>
          <cell r="U14">
            <v>0</v>
          </cell>
          <cell r="V14">
            <v>0</v>
          </cell>
          <cell r="W14">
            <v>1</v>
          </cell>
          <cell r="X14">
            <v>1</v>
          </cell>
          <cell r="Y14">
            <v>0</v>
          </cell>
          <cell r="Z14">
            <v>0</v>
          </cell>
          <cell r="AA14">
            <v>0</v>
          </cell>
        </row>
        <row r="15">
          <cell r="A15">
            <v>14</v>
          </cell>
          <cell r="B15">
            <v>0</v>
          </cell>
          <cell r="C15">
            <v>0</v>
          </cell>
          <cell r="D15">
            <v>0</v>
          </cell>
          <cell r="E15">
            <v>0</v>
          </cell>
          <cell r="F15">
            <v>0</v>
          </cell>
          <cell r="G15">
            <v>1</v>
          </cell>
          <cell r="H15">
            <v>0</v>
          </cell>
          <cell r="I15">
            <v>0</v>
          </cell>
          <cell r="J15">
            <v>0</v>
          </cell>
          <cell r="K15">
            <v>0</v>
          </cell>
          <cell r="L15">
            <v>0</v>
          </cell>
          <cell r="M15">
            <v>0</v>
          </cell>
          <cell r="N15">
            <v>0</v>
          </cell>
          <cell r="O15">
            <v>0</v>
          </cell>
          <cell r="P15">
            <v>0</v>
          </cell>
          <cell r="Q15">
            <v>0</v>
          </cell>
          <cell r="R15">
            <v>0</v>
          </cell>
          <cell r="S15">
            <v>0</v>
          </cell>
          <cell r="T15">
            <v>1</v>
          </cell>
          <cell r="U15">
            <v>0</v>
          </cell>
          <cell r="V15">
            <v>0</v>
          </cell>
          <cell r="W15">
            <v>2</v>
          </cell>
          <cell r="X15">
            <v>1</v>
          </cell>
          <cell r="Y15">
            <v>1</v>
          </cell>
          <cell r="Z15">
            <v>0</v>
          </cell>
          <cell r="AA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1</v>
          </cell>
          <cell r="U16">
            <v>0</v>
          </cell>
          <cell r="V16">
            <v>0</v>
          </cell>
          <cell r="W16">
            <v>2</v>
          </cell>
          <cell r="X16">
            <v>1</v>
          </cell>
          <cell r="Y16">
            <v>1</v>
          </cell>
          <cell r="Z16">
            <v>0</v>
          </cell>
          <cell r="AA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1</v>
          </cell>
          <cell r="U17">
            <v>0</v>
          </cell>
          <cell r="V17">
            <v>0</v>
          </cell>
          <cell r="W17">
            <v>1</v>
          </cell>
          <cell r="X17">
            <v>1</v>
          </cell>
          <cell r="Y17">
            <v>1</v>
          </cell>
          <cell r="Z17">
            <v>0</v>
          </cell>
          <cell r="AA17">
            <v>0</v>
          </cell>
        </row>
        <row r="18">
          <cell r="A18">
            <v>17</v>
          </cell>
          <cell r="B18">
            <v>0</v>
          </cell>
          <cell r="C18">
            <v>0</v>
          </cell>
          <cell r="D18">
            <v>0</v>
          </cell>
          <cell r="E18">
            <v>0</v>
          </cell>
          <cell r="F18">
            <v>0</v>
          </cell>
          <cell r="G18">
            <v>0</v>
          </cell>
          <cell r="H18">
            <v>0</v>
          </cell>
          <cell r="I18">
            <v>0</v>
          </cell>
          <cell r="J18">
            <v>0</v>
          </cell>
          <cell r="K18">
            <v>0</v>
          </cell>
          <cell r="L18">
            <v>0</v>
          </cell>
          <cell r="M18">
            <v>1</v>
          </cell>
          <cell r="N18">
            <v>0</v>
          </cell>
          <cell r="O18">
            <v>0</v>
          </cell>
          <cell r="P18">
            <v>0</v>
          </cell>
          <cell r="Q18">
            <v>0</v>
          </cell>
          <cell r="R18">
            <v>0</v>
          </cell>
          <cell r="S18">
            <v>1</v>
          </cell>
          <cell r="T18">
            <v>0</v>
          </cell>
          <cell r="U18">
            <v>0</v>
          </cell>
          <cell r="V18">
            <v>0</v>
          </cell>
          <cell r="W18">
            <v>1</v>
          </cell>
          <cell r="X18">
            <v>2</v>
          </cell>
          <cell r="Y18">
            <v>2</v>
          </cell>
          <cell r="Z18">
            <v>0</v>
          </cell>
          <cell r="AA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1</v>
          </cell>
          <cell r="X19">
            <v>2</v>
          </cell>
          <cell r="Y19">
            <v>1</v>
          </cell>
          <cell r="Z19">
            <v>0</v>
          </cell>
          <cell r="AA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0</v>
          </cell>
          <cell r="W20">
            <v>1</v>
          </cell>
          <cell r="X20">
            <v>1</v>
          </cell>
          <cell r="Y20">
            <v>2</v>
          </cell>
          <cell r="Z20">
            <v>0</v>
          </cell>
          <cell r="AA20">
            <v>0</v>
          </cell>
        </row>
        <row r="21">
          <cell r="A21">
            <v>20</v>
          </cell>
          <cell r="B21">
            <v>0</v>
          </cell>
          <cell r="C21">
            <v>0</v>
          </cell>
          <cell r="D21">
            <v>0</v>
          </cell>
          <cell r="E21">
            <v>0</v>
          </cell>
          <cell r="F21">
            <v>0</v>
          </cell>
          <cell r="G21">
            <v>1</v>
          </cell>
          <cell r="H21">
            <v>0</v>
          </cell>
          <cell r="I21">
            <v>0</v>
          </cell>
          <cell r="J21">
            <v>0</v>
          </cell>
          <cell r="K21">
            <v>0</v>
          </cell>
          <cell r="L21">
            <v>1</v>
          </cell>
          <cell r="M21">
            <v>1</v>
          </cell>
          <cell r="N21">
            <v>0</v>
          </cell>
          <cell r="O21">
            <v>0</v>
          </cell>
          <cell r="P21">
            <v>0</v>
          </cell>
          <cell r="Q21">
            <v>0</v>
          </cell>
          <cell r="R21">
            <v>0</v>
          </cell>
          <cell r="S21">
            <v>0</v>
          </cell>
          <cell r="T21">
            <v>0</v>
          </cell>
          <cell r="U21">
            <v>1</v>
          </cell>
          <cell r="V21">
            <v>0</v>
          </cell>
          <cell r="W21">
            <v>2</v>
          </cell>
          <cell r="X21">
            <v>1</v>
          </cell>
          <cell r="Y21">
            <v>1</v>
          </cell>
          <cell r="Z21">
            <v>0</v>
          </cell>
          <cell r="AA21">
            <v>0</v>
          </cell>
        </row>
        <row r="22">
          <cell r="A22">
            <v>21</v>
          </cell>
          <cell r="B22">
            <v>0</v>
          </cell>
          <cell r="C22">
            <v>0</v>
          </cell>
          <cell r="D22">
            <v>0</v>
          </cell>
          <cell r="E22">
            <v>0</v>
          </cell>
          <cell r="F22">
            <v>0</v>
          </cell>
          <cell r="G22">
            <v>0</v>
          </cell>
          <cell r="H22">
            <v>0</v>
          </cell>
          <cell r="I22">
            <v>0</v>
          </cell>
          <cell r="J22">
            <v>0</v>
          </cell>
          <cell r="K22">
            <v>0</v>
          </cell>
          <cell r="L22">
            <v>0</v>
          </cell>
          <cell r="M22">
            <v>1</v>
          </cell>
          <cell r="N22">
            <v>0</v>
          </cell>
          <cell r="O22">
            <v>0</v>
          </cell>
          <cell r="P22">
            <v>0</v>
          </cell>
          <cell r="Q22">
            <v>0</v>
          </cell>
          <cell r="R22">
            <v>0</v>
          </cell>
          <cell r="S22">
            <v>1</v>
          </cell>
          <cell r="T22">
            <v>0</v>
          </cell>
          <cell r="U22">
            <v>0</v>
          </cell>
          <cell r="V22">
            <v>0</v>
          </cell>
          <cell r="W22">
            <v>1</v>
          </cell>
          <cell r="X22">
            <v>1</v>
          </cell>
          <cell r="Y22">
            <v>1</v>
          </cell>
          <cell r="Z22">
            <v>0</v>
          </cell>
          <cell r="AA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0</v>
          </cell>
          <cell r="R23">
            <v>1</v>
          </cell>
          <cell r="S23">
            <v>0</v>
          </cell>
          <cell r="T23">
            <v>0</v>
          </cell>
          <cell r="U23">
            <v>0</v>
          </cell>
          <cell r="V23">
            <v>0</v>
          </cell>
          <cell r="W23">
            <v>1</v>
          </cell>
          <cell r="X23">
            <v>1</v>
          </cell>
          <cell r="Y23">
            <v>1</v>
          </cell>
          <cell r="Z23">
            <v>0</v>
          </cell>
          <cell r="AA23">
            <v>0</v>
          </cell>
        </row>
        <row r="24">
          <cell r="A24">
            <v>23</v>
          </cell>
          <cell r="B24">
            <v>0</v>
          </cell>
          <cell r="C24">
            <v>0</v>
          </cell>
          <cell r="D24">
            <v>0</v>
          </cell>
          <cell r="E24">
            <v>0</v>
          </cell>
          <cell r="F24">
            <v>0</v>
          </cell>
          <cell r="G24">
            <v>1</v>
          </cell>
          <cell r="H24">
            <v>0</v>
          </cell>
          <cell r="I24">
            <v>0</v>
          </cell>
          <cell r="J24">
            <v>0</v>
          </cell>
          <cell r="K24">
            <v>0</v>
          </cell>
          <cell r="L24">
            <v>0</v>
          </cell>
          <cell r="M24">
            <v>0</v>
          </cell>
          <cell r="N24">
            <v>0</v>
          </cell>
          <cell r="O24">
            <v>0</v>
          </cell>
          <cell r="P24">
            <v>0</v>
          </cell>
          <cell r="Q24">
            <v>0</v>
          </cell>
          <cell r="R24">
            <v>1</v>
          </cell>
          <cell r="S24">
            <v>0</v>
          </cell>
          <cell r="T24">
            <v>0</v>
          </cell>
          <cell r="U24">
            <v>0</v>
          </cell>
          <cell r="V24">
            <v>0</v>
          </cell>
          <cell r="W24">
            <v>2</v>
          </cell>
          <cell r="X24">
            <v>2</v>
          </cell>
          <cell r="Y24">
            <v>1</v>
          </cell>
          <cell r="Z24">
            <v>0</v>
          </cell>
          <cell r="AA24">
            <v>0</v>
          </cell>
        </row>
        <row r="25">
          <cell r="A25">
            <v>24</v>
          </cell>
          <cell r="B25">
            <v>0</v>
          </cell>
          <cell r="C25">
            <v>0</v>
          </cell>
          <cell r="D25">
            <v>0</v>
          </cell>
          <cell r="E25">
            <v>0</v>
          </cell>
          <cell r="F25">
            <v>0</v>
          </cell>
          <cell r="G25">
            <v>1</v>
          </cell>
          <cell r="H25">
            <v>0</v>
          </cell>
          <cell r="I25">
            <v>0</v>
          </cell>
          <cell r="J25">
            <v>0</v>
          </cell>
          <cell r="K25">
            <v>0</v>
          </cell>
          <cell r="L25">
            <v>0</v>
          </cell>
          <cell r="M25">
            <v>0</v>
          </cell>
          <cell r="N25">
            <v>0</v>
          </cell>
          <cell r="O25">
            <v>0</v>
          </cell>
          <cell r="P25">
            <v>0</v>
          </cell>
          <cell r="Q25">
            <v>0</v>
          </cell>
          <cell r="R25">
            <v>1</v>
          </cell>
          <cell r="S25">
            <v>0</v>
          </cell>
          <cell r="T25">
            <v>1</v>
          </cell>
          <cell r="U25">
            <v>0</v>
          </cell>
          <cell r="V25">
            <v>0</v>
          </cell>
          <cell r="W25">
            <v>1</v>
          </cell>
          <cell r="X25">
            <v>1</v>
          </cell>
          <cell r="Y25">
            <v>0</v>
          </cell>
          <cell r="Z25">
            <v>0</v>
          </cell>
          <cell r="AA25">
            <v>0</v>
          </cell>
        </row>
        <row r="26">
          <cell r="A26">
            <v>25</v>
          </cell>
          <cell r="B26">
            <v>0</v>
          </cell>
          <cell r="C26">
            <v>0</v>
          </cell>
          <cell r="D26">
            <v>0</v>
          </cell>
          <cell r="E26">
            <v>0</v>
          </cell>
          <cell r="F26">
            <v>0</v>
          </cell>
          <cell r="G26">
            <v>0</v>
          </cell>
          <cell r="H26">
            <v>0</v>
          </cell>
          <cell r="I26">
            <v>0</v>
          </cell>
          <cell r="J26">
            <v>0</v>
          </cell>
          <cell r="K26">
            <v>0</v>
          </cell>
          <cell r="L26">
            <v>0</v>
          </cell>
          <cell r="M26">
            <v>1</v>
          </cell>
          <cell r="N26">
            <v>0</v>
          </cell>
          <cell r="O26">
            <v>0</v>
          </cell>
          <cell r="P26">
            <v>0</v>
          </cell>
          <cell r="Q26">
            <v>0</v>
          </cell>
          <cell r="R26">
            <v>0</v>
          </cell>
          <cell r="S26">
            <v>0</v>
          </cell>
          <cell r="T26">
            <v>0</v>
          </cell>
          <cell r="U26">
            <v>0</v>
          </cell>
          <cell r="V26">
            <v>0</v>
          </cell>
          <cell r="W26">
            <v>1</v>
          </cell>
          <cell r="X26">
            <v>1</v>
          </cell>
          <cell r="Y26">
            <v>1</v>
          </cell>
          <cell r="Z26">
            <v>0</v>
          </cell>
          <cell r="AA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0</v>
          </cell>
          <cell r="T27">
            <v>1</v>
          </cell>
          <cell r="U27">
            <v>0</v>
          </cell>
          <cell r="V27">
            <v>0</v>
          </cell>
          <cell r="W27">
            <v>1</v>
          </cell>
          <cell r="X27">
            <v>2</v>
          </cell>
          <cell r="Y27">
            <v>1</v>
          </cell>
          <cell r="Z27">
            <v>0</v>
          </cell>
          <cell r="AA27">
            <v>0</v>
          </cell>
        </row>
        <row r="28">
          <cell r="A28">
            <v>27</v>
          </cell>
          <cell r="B28">
            <v>0</v>
          </cell>
          <cell r="C28">
            <v>0</v>
          </cell>
          <cell r="D28">
            <v>0</v>
          </cell>
          <cell r="E28">
            <v>0</v>
          </cell>
          <cell r="F28">
            <v>0</v>
          </cell>
          <cell r="G28">
            <v>0</v>
          </cell>
          <cell r="H28">
            <v>0</v>
          </cell>
          <cell r="I28">
            <v>0</v>
          </cell>
          <cell r="J28">
            <v>0</v>
          </cell>
          <cell r="K28">
            <v>0</v>
          </cell>
          <cell r="L28">
            <v>0</v>
          </cell>
          <cell r="M28">
            <v>1</v>
          </cell>
          <cell r="N28">
            <v>0</v>
          </cell>
          <cell r="O28">
            <v>0</v>
          </cell>
          <cell r="P28">
            <v>0</v>
          </cell>
          <cell r="Q28">
            <v>0</v>
          </cell>
          <cell r="R28">
            <v>0</v>
          </cell>
          <cell r="S28">
            <v>0</v>
          </cell>
          <cell r="T28">
            <v>0</v>
          </cell>
          <cell r="U28">
            <v>0</v>
          </cell>
          <cell r="V28">
            <v>0</v>
          </cell>
          <cell r="W28">
            <v>0</v>
          </cell>
          <cell r="X28">
            <v>1</v>
          </cell>
          <cell r="Y28">
            <v>1</v>
          </cell>
          <cell r="Z28">
            <v>0</v>
          </cell>
          <cell r="AA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1</v>
          </cell>
          <cell r="U29">
            <v>0</v>
          </cell>
          <cell r="V29">
            <v>0</v>
          </cell>
          <cell r="W29">
            <v>1</v>
          </cell>
          <cell r="X29">
            <v>1</v>
          </cell>
          <cell r="Y29">
            <v>0</v>
          </cell>
          <cell r="Z29">
            <v>0</v>
          </cell>
          <cell r="AA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Unnamed: 0</v>
          </cell>
          <cell r="C1" t="str">
            <v>AH</v>
          </cell>
          <cell r="D1" t="str">
            <v>AMA</v>
          </cell>
          <cell r="E1" t="str">
            <v>DEM</v>
          </cell>
          <cell r="F1" t="str">
            <v>EVO</v>
          </cell>
          <cell r="G1" t="str">
            <v>FA</v>
          </cell>
          <cell r="H1" t="str">
            <v>FREVS</v>
          </cell>
          <cell r="I1" t="str">
            <v>IGU</v>
          </cell>
          <cell r="J1" t="str">
            <v>IND</v>
          </cell>
          <cell r="K1" t="str">
            <v>PAVP</v>
          </cell>
          <cell r="L1" t="str">
            <v>PCCH</v>
          </cell>
          <cell r="M1" t="str">
            <v>PDC</v>
          </cell>
          <cell r="N1" t="str">
            <v>PDG</v>
          </cell>
          <cell r="O1" t="str">
            <v>PH</v>
          </cell>
          <cell r="P1" t="str">
            <v>PL</v>
          </cell>
          <cell r="Q1" t="str">
            <v>POP</v>
          </cell>
          <cell r="R1" t="str">
            <v>PPD</v>
          </cell>
          <cell r="S1" t="str">
            <v>PR</v>
          </cell>
          <cell r="T1" t="str">
            <v>PS</v>
          </cell>
          <cell r="U1" t="str">
            <v>PSC</v>
          </cell>
          <cell r="V1" t="str">
            <v>PTR</v>
          </cell>
          <cell r="W1" t="str">
            <v>REP</v>
          </cell>
          <cell r="X1" t="str">
            <v>RN</v>
          </cell>
          <cell r="Y1" t="str">
            <v>UDI</v>
          </cell>
          <cell r="Z1" t="str">
            <v>Votos Blancos</v>
          </cell>
          <cell r="AA1" t="str">
            <v>Votos Nulos</v>
          </cell>
        </row>
        <row r="2">
          <cell r="A2">
            <v>1</v>
          </cell>
          <cell r="B2">
            <v>0</v>
          </cell>
          <cell r="C2">
            <v>0</v>
          </cell>
          <cell r="D2">
            <v>0</v>
          </cell>
          <cell r="E2">
            <v>1</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1</v>
          </cell>
          <cell r="X2">
            <v>1</v>
          </cell>
          <cell r="Y2">
            <v>0</v>
          </cell>
          <cell r="Z2">
            <v>0</v>
          </cell>
          <cell r="AA2">
            <v>0</v>
          </cell>
        </row>
        <row r="3">
          <cell r="A3">
            <v>2</v>
          </cell>
          <cell r="B3">
            <v>0</v>
          </cell>
          <cell r="C3">
            <v>0</v>
          </cell>
          <cell r="D3">
            <v>0</v>
          </cell>
          <cell r="E3">
            <v>0</v>
          </cell>
          <cell r="F3">
            <v>0</v>
          </cell>
          <cell r="G3">
            <v>0</v>
          </cell>
          <cell r="H3">
            <v>0</v>
          </cell>
          <cell r="I3">
            <v>0</v>
          </cell>
          <cell r="J3">
            <v>0</v>
          </cell>
          <cell r="K3">
            <v>0</v>
          </cell>
          <cell r="L3">
            <v>0</v>
          </cell>
          <cell r="M3">
            <v>1</v>
          </cell>
          <cell r="N3">
            <v>0</v>
          </cell>
          <cell r="O3">
            <v>0</v>
          </cell>
          <cell r="P3">
            <v>0</v>
          </cell>
          <cell r="Q3">
            <v>0</v>
          </cell>
          <cell r="R3">
            <v>0</v>
          </cell>
          <cell r="S3">
            <v>0</v>
          </cell>
          <cell r="T3">
            <v>0</v>
          </cell>
          <cell r="U3">
            <v>0</v>
          </cell>
          <cell r="V3">
            <v>0</v>
          </cell>
          <cell r="W3">
            <v>1</v>
          </cell>
          <cell r="X3">
            <v>1</v>
          </cell>
          <cell r="Y3">
            <v>0</v>
          </cell>
          <cell r="Z3">
            <v>0</v>
          </cell>
          <cell r="AA3">
            <v>0</v>
          </cell>
        </row>
        <row r="4">
          <cell r="A4">
            <v>3</v>
          </cell>
          <cell r="B4">
            <v>0</v>
          </cell>
          <cell r="C4">
            <v>0</v>
          </cell>
          <cell r="D4">
            <v>0</v>
          </cell>
          <cell r="E4">
            <v>0</v>
          </cell>
          <cell r="F4">
            <v>0</v>
          </cell>
          <cell r="G4">
            <v>0</v>
          </cell>
          <cell r="H4">
            <v>0</v>
          </cell>
          <cell r="I4">
            <v>0</v>
          </cell>
          <cell r="J4">
            <v>0</v>
          </cell>
          <cell r="K4">
            <v>0</v>
          </cell>
          <cell r="L4">
            <v>1</v>
          </cell>
          <cell r="M4">
            <v>1</v>
          </cell>
          <cell r="N4">
            <v>0</v>
          </cell>
          <cell r="O4">
            <v>0</v>
          </cell>
          <cell r="P4">
            <v>0</v>
          </cell>
          <cell r="Q4">
            <v>0</v>
          </cell>
          <cell r="R4">
            <v>0</v>
          </cell>
          <cell r="S4">
            <v>1</v>
          </cell>
          <cell r="T4">
            <v>0</v>
          </cell>
          <cell r="U4">
            <v>0</v>
          </cell>
          <cell r="V4">
            <v>0</v>
          </cell>
          <cell r="W4">
            <v>1</v>
          </cell>
          <cell r="X4">
            <v>1</v>
          </cell>
          <cell r="Y4">
            <v>0</v>
          </cell>
          <cell r="Z4">
            <v>0</v>
          </cell>
          <cell r="AA4">
            <v>0</v>
          </cell>
        </row>
        <row r="5">
          <cell r="A5">
            <v>4</v>
          </cell>
          <cell r="B5">
            <v>0</v>
          </cell>
          <cell r="C5">
            <v>0</v>
          </cell>
          <cell r="D5">
            <v>0</v>
          </cell>
          <cell r="E5">
            <v>0</v>
          </cell>
          <cell r="F5">
            <v>0</v>
          </cell>
          <cell r="G5">
            <v>0</v>
          </cell>
          <cell r="H5">
            <v>1</v>
          </cell>
          <cell r="I5">
            <v>0</v>
          </cell>
          <cell r="J5">
            <v>0</v>
          </cell>
          <cell r="K5">
            <v>0</v>
          </cell>
          <cell r="L5">
            <v>0</v>
          </cell>
          <cell r="M5">
            <v>0</v>
          </cell>
          <cell r="N5">
            <v>0</v>
          </cell>
          <cell r="O5">
            <v>0</v>
          </cell>
          <cell r="P5">
            <v>0</v>
          </cell>
          <cell r="Q5">
            <v>0</v>
          </cell>
          <cell r="R5">
            <v>0</v>
          </cell>
          <cell r="S5">
            <v>1</v>
          </cell>
          <cell r="T5">
            <v>1</v>
          </cell>
          <cell r="U5">
            <v>0</v>
          </cell>
          <cell r="V5">
            <v>0</v>
          </cell>
          <cell r="W5">
            <v>1</v>
          </cell>
          <cell r="X5">
            <v>1</v>
          </cell>
          <cell r="Y5">
            <v>0</v>
          </cell>
          <cell r="Z5">
            <v>0</v>
          </cell>
          <cell r="AA5">
            <v>0</v>
          </cell>
        </row>
        <row r="6">
          <cell r="A6">
            <v>5</v>
          </cell>
          <cell r="B6">
            <v>0</v>
          </cell>
          <cell r="C6">
            <v>0</v>
          </cell>
          <cell r="D6">
            <v>0</v>
          </cell>
          <cell r="E6">
            <v>0</v>
          </cell>
          <cell r="F6">
            <v>0</v>
          </cell>
          <cell r="G6">
            <v>0</v>
          </cell>
          <cell r="H6">
            <v>0</v>
          </cell>
          <cell r="I6">
            <v>0</v>
          </cell>
          <cell r="J6">
            <v>0</v>
          </cell>
          <cell r="K6">
            <v>0</v>
          </cell>
          <cell r="L6">
            <v>1</v>
          </cell>
          <cell r="M6">
            <v>1</v>
          </cell>
          <cell r="N6">
            <v>0</v>
          </cell>
          <cell r="O6">
            <v>0</v>
          </cell>
          <cell r="P6">
            <v>0</v>
          </cell>
          <cell r="Q6">
            <v>0</v>
          </cell>
          <cell r="R6">
            <v>0</v>
          </cell>
          <cell r="S6">
            <v>1</v>
          </cell>
          <cell r="T6">
            <v>1</v>
          </cell>
          <cell r="U6">
            <v>0</v>
          </cell>
          <cell r="V6">
            <v>0</v>
          </cell>
          <cell r="W6">
            <v>1</v>
          </cell>
          <cell r="X6">
            <v>1</v>
          </cell>
          <cell r="Y6">
            <v>1</v>
          </cell>
          <cell r="Z6">
            <v>0</v>
          </cell>
          <cell r="AA6">
            <v>0</v>
          </cell>
        </row>
        <row r="7">
          <cell r="A7">
            <v>6</v>
          </cell>
          <cell r="B7">
            <v>0</v>
          </cell>
          <cell r="C7">
            <v>0</v>
          </cell>
          <cell r="D7">
            <v>0</v>
          </cell>
          <cell r="E7">
            <v>0</v>
          </cell>
          <cell r="F7">
            <v>0</v>
          </cell>
          <cell r="G7">
            <v>0</v>
          </cell>
          <cell r="H7">
            <v>0</v>
          </cell>
          <cell r="I7">
            <v>0</v>
          </cell>
          <cell r="J7">
            <v>0</v>
          </cell>
          <cell r="K7">
            <v>0</v>
          </cell>
          <cell r="L7">
            <v>1</v>
          </cell>
          <cell r="M7">
            <v>1</v>
          </cell>
          <cell r="N7">
            <v>0</v>
          </cell>
          <cell r="O7">
            <v>0</v>
          </cell>
          <cell r="P7">
            <v>0</v>
          </cell>
          <cell r="Q7">
            <v>0</v>
          </cell>
          <cell r="R7">
            <v>0</v>
          </cell>
          <cell r="S7">
            <v>1</v>
          </cell>
          <cell r="T7">
            <v>1</v>
          </cell>
          <cell r="U7">
            <v>0</v>
          </cell>
          <cell r="V7">
            <v>0</v>
          </cell>
          <cell r="W7">
            <v>2</v>
          </cell>
          <cell r="X7">
            <v>2</v>
          </cell>
          <cell r="Y7">
            <v>0</v>
          </cell>
          <cell r="Z7">
            <v>0</v>
          </cell>
          <cell r="AA7">
            <v>0</v>
          </cell>
        </row>
        <row r="8">
          <cell r="A8">
            <v>7</v>
          </cell>
          <cell r="B8">
            <v>0</v>
          </cell>
          <cell r="C8">
            <v>0</v>
          </cell>
          <cell r="D8">
            <v>0</v>
          </cell>
          <cell r="E8">
            <v>0</v>
          </cell>
          <cell r="F8">
            <v>0</v>
          </cell>
          <cell r="G8">
            <v>1</v>
          </cell>
          <cell r="H8">
            <v>0</v>
          </cell>
          <cell r="I8">
            <v>0</v>
          </cell>
          <cell r="J8">
            <v>0</v>
          </cell>
          <cell r="K8">
            <v>0</v>
          </cell>
          <cell r="L8">
            <v>1</v>
          </cell>
          <cell r="M8">
            <v>1</v>
          </cell>
          <cell r="N8">
            <v>0</v>
          </cell>
          <cell r="O8">
            <v>0</v>
          </cell>
          <cell r="P8">
            <v>0</v>
          </cell>
          <cell r="Q8">
            <v>0</v>
          </cell>
          <cell r="R8">
            <v>0</v>
          </cell>
          <cell r="S8">
            <v>0</v>
          </cell>
          <cell r="T8">
            <v>1</v>
          </cell>
          <cell r="U8">
            <v>0</v>
          </cell>
          <cell r="V8">
            <v>0</v>
          </cell>
          <cell r="W8">
            <v>2</v>
          </cell>
          <cell r="X8">
            <v>1</v>
          </cell>
          <cell r="Y8">
            <v>1</v>
          </cell>
          <cell r="Z8">
            <v>0</v>
          </cell>
          <cell r="AA8">
            <v>0</v>
          </cell>
        </row>
        <row r="9">
          <cell r="A9">
            <v>8</v>
          </cell>
          <cell r="B9">
            <v>0</v>
          </cell>
          <cell r="C9">
            <v>0</v>
          </cell>
          <cell r="D9">
            <v>0</v>
          </cell>
          <cell r="E9">
            <v>0</v>
          </cell>
          <cell r="F9">
            <v>0</v>
          </cell>
          <cell r="G9">
            <v>2</v>
          </cell>
          <cell r="H9">
            <v>0</v>
          </cell>
          <cell r="I9">
            <v>0</v>
          </cell>
          <cell r="J9">
            <v>0</v>
          </cell>
          <cell r="K9">
            <v>0</v>
          </cell>
          <cell r="L9">
            <v>1</v>
          </cell>
          <cell r="M9">
            <v>1</v>
          </cell>
          <cell r="N9">
            <v>0</v>
          </cell>
          <cell r="O9">
            <v>0</v>
          </cell>
          <cell r="P9">
            <v>0</v>
          </cell>
          <cell r="Q9">
            <v>0</v>
          </cell>
          <cell r="R9">
            <v>0</v>
          </cell>
          <cell r="S9">
            <v>0</v>
          </cell>
          <cell r="T9">
            <v>1</v>
          </cell>
          <cell r="U9">
            <v>0</v>
          </cell>
          <cell r="V9">
            <v>0</v>
          </cell>
          <cell r="W9">
            <v>2</v>
          </cell>
          <cell r="X9">
            <v>1</v>
          </cell>
          <cell r="Y9">
            <v>0</v>
          </cell>
          <cell r="Z9">
            <v>0</v>
          </cell>
          <cell r="AA9">
            <v>0</v>
          </cell>
        </row>
        <row r="10">
          <cell r="A10">
            <v>9</v>
          </cell>
          <cell r="B10">
            <v>0</v>
          </cell>
          <cell r="C10">
            <v>0</v>
          </cell>
          <cell r="D10">
            <v>0</v>
          </cell>
          <cell r="E10">
            <v>0</v>
          </cell>
          <cell r="F10">
            <v>0</v>
          </cell>
          <cell r="G10">
            <v>1</v>
          </cell>
          <cell r="H10">
            <v>0</v>
          </cell>
          <cell r="I10">
            <v>0</v>
          </cell>
          <cell r="J10">
            <v>0</v>
          </cell>
          <cell r="K10">
            <v>0</v>
          </cell>
          <cell r="L10">
            <v>1</v>
          </cell>
          <cell r="M10">
            <v>0</v>
          </cell>
          <cell r="N10">
            <v>0</v>
          </cell>
          <cell r="O10">
            <v>0</v>
          </cell>
          <cell r="P10">
            <v>0</v>
          </cell>
          <cell r="Q10">
            <v>0</v>
          </cell>
          <cell r="R10">
            <v>1</v>
          </cell>
          <cell r="S10">
            <v>0</v>
          </cell>
          <cell r="T10">
            <v>1</v>
          </cell>
          <cell r="U10">
            <v>0</v>
          </cell>
          <cell r="V10">
            <v>0</v>
          </cell>
          <cell r="W10">
            <v>1</v>
          </cell>
          <cell r="X10">
            <v>1</v>
          </cell>
          <cell r="Y10">
            <v>1</v>
          </cell>
          <cell r="Z10">
            <v>0</v>
          </cell>
          <cell r="AA10">
            <v>0</v>
          </cell>
        </row>
        <row r="11">
          <cell r="A11">
            <v>10</v>
          </cell>
          <cell r="B11">
            <v>0</v>
          </cell>
          <cell r="C11">
            <v>0</v>
          </cell>
          <cell r="D11">
            <v>0</v>
          </cell>
          <cell r="E11">
            <v>0</v>
          </cell>
          <cell r="F11">
            <v>0</v>
          </cell>
          <cell r="G11">
            <v>2</v>
          </cell>
          <cell r="H11">
            <v>0</v>
          </cell>
          <cell r="I11">
            <v>0</v>
          </cell>
          <cell r="J11">
            <v>0</v>
          </cell>
          <cell r="K11">
            <v>0</v>
          </cell>
          <cell r="L11">
            <v>1</v>
          </cell>
          <cell r="M11">
            <v>0</v>
          </cell>
          <cell r="N11">
            <v>0</v>
          </cell>
          <cell r="O11">
            <v>0</v>
          </cell>
          <cell r="P11">
            <v>0</v>
          </cell>
          <cell r="Q11">
            <v>0</v>
          </cell>
          <cell r="R11">
            <v>0</v>
          </cell>
          <cell r="S11">
            <v>0</v>
          </cell>
          <cell r="T11">
            <v>1</v>
          </cell>
          <cell r="U11">
            <v>0</v>
          </cell>
          <cell r="V11">
            <v>0</v>
          </cell>
          <cell r="W11">
            <v>2</v>
          </cell>
          <cell r="X11">
            <v>1</v>
          </cell>
          <cell r="Y11">
            <v>1</v>
          </cell>
          <cell r="Z11">
            <v>0</v>
          </cell>
          <cell r="AA11">
            <v>0</v>
          </cell>
        </row>
        <row r="12">
          <cell r="A12">
            <v>11</v>
          </cell>
          <cell r="B12">
            <v>0</v>
          </cell>
          <cell r="C12">
            <v>0</v>
          </cell>
          <cell r="D12">
            <v>0</v>
          </cell>
          <cell r="E12">
            <v>0</v>
          </cell>
          <cell r="F12">
            <v>0</v>
          </cell>
          <cell r="G12">
            <v>1</v>
          </cell>
          <cell r="H12">
            <v>0</v>
          </cell>
          <cell r="I12">
            <v>0</v>
          </cell>
          <cell r="J12">
            <v>0</v>
          </cell>
          <cell r="K12">
            <v>0</v>
          </cell>
          <cell r="L12">
            <v>0</v>
          </cell>
          <cell r="M12">
            <v>1</v>
          </cell>
          <cell r="N12">
            <v>0</v>
          </cell>
          <cell r="O12">
            <v>0</v>
          </cell>
          <cell r="P12">
            <v>0</v>
          </cell>
          <cell r="Q12">
            <v>0</v>
          </cell>
          <cell r="R12">
            <v>0</v>
          </cell>
          <cell r="S12">
            <v>0</v>
          </cell>
          <cell r="T12">
            <v>0</v>
          </cell>
          <cell r="U12">
            <v>0</v>
          </cell>
          <cell r="V12">
            <v>0</v>
          </cell>
          <cell r="W12">
            <v>2</v>
          </cell>
          <cell r="X12">
            <v>1</v>
          </cell>
          <cell r="Y12">
            <v>1</v>
          </cell>
          <cell r="Z12">
            <v>0</v>
          </cell>
          <cell r="AA12">
            <v>0</v>
          </cell>
        </row>
        <row r="13">
          <cell r="A13">
            <v>12</v>
          </cell>
          <cell r="B13">
            <v>0</v>
          </cell>
          <cell r="C13">
            <v>0</v>
          </cell>
          <cell r="D13">
            <v>0</v>
          </cell>
          <cell r="E13">
            <v>0</v>
          </cell>
          <cell r="F13">
            <v>0</v>
          </cell>
          <cell r="G13">
            <v>1</v>
          </cell>
          <cell r="H13">
            <v>0</v>
          </cell>
          <cell r="I13">
            <v>0</v>
          </cell>
          <cell r="J13">
            <v>0</v>
          </cell>
          <cell r="K13">
            <v>1</v>
          </cell>
          <cell r="L13">
            <v>1</v>
          </cell>
          <cell r="M13">
            <v>0</v>
          </cell>
          <cell r="N13">
            <v>0</v>
          </cell>
          <cell r="O13">
            <v>0</v>
          </cell>
          <cell r="P13">
            <v>0</v>
          </cell>
          <cell r="Q13">
            <v>0</v>
          </cell>
          <cell r="R13">
            <v>0</v>
          </cell>
          <cell r="S13">
            <v>0</v>
          </cell>
          <cell r="T13">
            <v>1</v>
          </cell>
          <cell r="U13">
            <v>0</v>
          </cell>
          <cell r="V13">
            <v>0</v>
          </cell>
          <cell r="W13">
            <v>1</v>
          </cell>
          <cell r="X13">
            <v>2</v>
          </cell>
          <cell r="Y13">
            <v>0</v>
          </cell>
          <cell r="Z13">
            <v>0</v>
          </cell>
          <cell r="AA13">
            <v>0</v>
          </cell>
        </row>
        <row r="14">
          <cell r="A14">
            <v>13</v>
          </cell>
          <cell r="B14">
            <v>0</v>
          </cell>
          <cell r="C14">
            <v>0</v>
          </cell>
          <cell r="D14">
            <v>0</v>
          </cell>
          <cell r="E14">
            <v>0</v>
          </cell>
          <cell r="F14">
            <v>0</v>
          </cell>
          <cell r="G14">
            <v>1</v>
          </cell>
          <cell r="H14">
            <v>0</v>
          </cell>
          <cell r="I14">
            <v>0</v>
          </cell>
          <cell r="J14">
            <v>0</v>
          </cell>
          <cell r="K14">
            <v>0</v>
          </cell>
          <cell r="L14">
            <v>1</v>
          </cell>
          <cell r="M14">
            <v>0</v>
          </cell>
          <cell r="N14">
            <v>0</v>
          </cell>
          <cell r="O14">
            <v>0</v>
          </cell>
          <cell r="P14">
            <v>0</v>
          </cell>
          <cell r="Q14">
            <v>0</v>
          </cell>
          <cell r="R14">
            <v>0</v>
          </cell>
          <cell r="S14">
            <v>0</v>
          </cell>
          <cell r="T14">
            <v>1</v>
          </cell>
          <cell r="U14">
            <v>0</v>
          </cell>
          <cell r="V14">
            <v>0</v>
          </cell>
          <cell r="W14">
            <v>1</v>
          </cell>
          <cell r="X14">
            <v>1</v>
          </cell>
          <cell r="Y14">
            <v>0</v>
          </cell>
          <cell r="Z14">
            <v>0</v>
          </cell>
          <cell r="AA14">
            <v>0</v>
          </cell>
        </row>
        <row r="15">
          <cell r="A15">
            <v>14</v>
          </cell>
          <cell r="B15">
            <v>0</v>
          </cell>
          <cell r="C15">
            <v>0</v>
          </cell>
          <cell r="D15">
            <v>0</v>
          </cell>
          <cell r="E15">
            <v>0</v>
          </cell>
          <cell r="F15">
            <v>0</v>
          </cell>
          <cell r="G15">
            <v>1</v>
          </cell>
          <cell r="H15">
            <v>0</v>
          </cell>
          <cell r="I15">
            <v>0</v>
          </cell>
          <cell r="J15">
            <v>0</v>
          </cell>
          <cell r="K15">
            <v>0</v>
          </cell>
          <cell r="L15">
            <v>0</v>
          </cell>
          <cell r="M15">
            <v>0</v>
          </cell>
          <cell r="N15">
            <v>0</v>
          </cell>
          <cell r="O15">
            <v>0</v>
          </cell>
          <cell r="P15">
            <v>0</v>
          </cell>
          <cell r="Q15">
            <v>0</v>
          </cell>
          <cell r="R15">
            <v>0</v>
          </cell>
          <cell r="S15">
            <v>0</v>
          </cell>
          <cell r="T15">
            <v>2</v>
          </cell>
          <cell r="U15">
            <v>0</v>
          </cell>
          <cell r="V15">
            <v>0</v>
          </cell>
          <cell r="W15">
            <v>1</v>
          </cell>
          <cell r="X15">
            <v>1</v>
          </cell>
          <cell r="Y15">
            <v>1</v>
          </cell>
          <cell r="Z15">
            <v>0</v>
          </cell>
          <cell r="AA15">
            <v>0</v>
          </cell>
        </row>
        <row r="16">
          <cell r="A16">
            <v>15</v>
          </cell>
          <cell r="B16">
            <v>0</v>
          </cell>
          <cell r="C16">
            <v>0</v>
          </cell>
          <cell r="D16">
            <v>0</v>
          </cell>
          <cell r="E16">
            <v>0</v>
          </cell>
          <cell r="F16">
            <v>0</v>
          </cell>
          <cell r="G16">
            <v>1</v>
          </cell>
          <cell r="H16">
            <v>0</v>
          </cell>
          <cell r="I16">
            <v>0</v>
          </cell>
          <cell r="J16">
            <v>0</v>
          </cell>
          <cell r="K16">
            <v>0</v>
          </cell>
          <cell r="L16">
            <v>0</v>
          </cell>
          <cell r="M16">
            <v>0</v>
          </cell>
          <cell r="N16">
            <v>0</v>
          </cell>
          <cell r="O16">
            <v>0</v>
          </cell>
          <cell r="P16">
            <v>0</v>
          </cell>
          <cell r="Q16">
            <v>0</v>
          </cell>
          <cell r="R16">
            <v>0</v>
          </cell>
          <cell r="S16">
            <v>1</v>
          </cell>
          <cell r="T16">
            <v>1</v>
          </cell>
          <cell r="U16">
            <v>0</v>
          </cell>
          <cell r="V16">
            <v>0</v>
          </cell>
          <cell r="W16">
            <v>1</v>
          </cell>
          <cell r="X16">
            <v>1</v>
          </cell>
          <cell r="Y16">
            <v>0</v>
          </cell>
          <cell r="Z16">
            <v>0</v>
          </cell>
          <cell r="AA16">
            <v>0</v>
          </cell>
        </row>
        <row r="17">
          <cell r="A17">
            <v>16</v>
          </cell>
          <cell r="B17">
            <v>0</v>
          </cell>
          <cell r="C17">
            <v>0</v>
          </cell>
          <cell r="D17">
            <v>0</v>
          </cell>
          <cell r="E17">
            <v>0</v>
          </cell>
          <cell r="F17">
            <v>0</v>
          </cell>
          <cell r="G17">
            <v>0</v>
          </cell>
          <cell r="H17">
            <v>0</v>
          </cell>
          <cell r="I17">
            <v>0</v>
          </cell>
          <cell r="J17">
            <v>0</v>
          </cell>
          <cell r="K17">
            <v>0</v>
          </cell>
          <cell r="L17">
            <v>0</v>
          </cell>
          <cell r="M17">
            <v>1</v>
          </cell>
          <cell r="N17">
            <v>0</v>
          </cell>
          <cell r="O17">
            <v>0</v>
          </cell>
          <cell r="P17">
            <v>0</v>
          </cell>
          <cell r="Q17">
            <v>0</v>
          </cell>
          <cell r="R17">
            <v>0</v>
          </cell>
          <cell r="S17">
            <v>0</v>
          </cell>
          <cell r="T17">
            <v>1</v>
          </cell>
          <cell r="U17">
            <v>0</v>
          </cell>
          <cell r="V17">
            <v>0</v>
          </cell>
          <cell r="W17">
            <v>0</v>
          </cell>
          <cell r="X17">
            <v>1</v>
          </cell>
          <cell r="Y17">
            <v>1</v>
          </cell>
          <cell r="Z17">
            <v>0</v>
          </cell>
          <cell r="AA17">
            <v>0</v>
          </cell>
        </row>
        <row r="18">
          <cell r="A18">
            <v>17</v>
          </cell>
          <cell r="B18">
            <v>0</v>
          </cell>
          <cell r="C18">
            <v>0</v>
          </cell>
          <cell r="D18">
            <v>0</v>
          </cell>
          <cell r="E18">
            <v>0</v>
          </cell>
          <cell r="F18">
            <v>0</v>
          </cell>
          <cell r="G18">
            <v>1</v>
          </cell>
          <cell r="H18">
            <v>0</v>
          </cell>
          <cell r="I18">
            <v>0</v>
          </cell>
          <cell r="J18">
            <v>0</v>
          </cell>
          <cell r="K18">
            <v>0</v>
          </cell>
          <cell r="L18">
            <v>0</v>
          </cell>
          <cell r="M18">
            <v>1</v>
          </cell>
          <cell r="N18">
            <v>0</v>
          </cell>
          <cell r="O18">
            <v>0</v>
          </cell>
          <cell r="P18">
            <v>0</v>
          </cell>
          <cell r="Q18">
            <v>0</v>
          </cell>
          <cell r="R18">
            <v>0</v>
          </cell>
          <cell r="S18">
            <v>1</v>
          </cell>
          <cell r="T18">
            <v>0</v>
          </cell>
          <cell r="U18">
            <v>0</v>
          </cell>
          <cell r="V18">
            <v>0</v>
          </cell>
          <cell r="W18">
            <v>1</v>
          </cell>
          <cell r="X18">
            <v>2</v>
          </cell>
          <cell r="Y18">
            <v>1</v>
          </cell>
          <cell r="Z18">
            <v>0</v>
          </cell>
          <cell r="AA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1</v>
          </cell>
          <cell r="S19">
            <v>0</v>
          </cell>
          <cell r="T19">
            <v>0</v>
          </cell>
          <cell r="U19">
            <v>0</v>
          </cell>
          <cell r="V19">
            <v>0</v>
          </cell>
          <cell r="W19">
            <v>1</v>
          </cell>
          <cell r="X19">
            <v>1</v>
          </cell>
          <cell r="Y19">
            <v>1</v>
          </cell>
          <cell r="Z19">
            <v>0</v>
          </cell>
          <cell r="AA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1</v>
          </cell>
          <cell r="U20">
            <v>0</v>
          </cell>
          <cell r="V20">
            <v>0</v>
          </cell>
          <cell r="W20">
            <v>1</v>
          </cell>
          <cell r="X20">
            <v>1</v>
          </cell>
          <cell r="Y20">
            <v>1</v>
          </cell>
          <cell r="Z20">
            <v>0</v>
          </cell>
          <cell r="AA20">
            <v>0</v>
          </cell>
        </row>
        <row r="21">
          <cell r="A21">
            <v>20</v>
          </cell>
          <cell r="B21">
            <v>0</v>
          </cell>
          <cell r="C21">
            <v>0</v>
          </cell>
          <cell r="D21">
            <v>0</v>
          </cell>
          <cell r="E21">
            <v>0</v>
          </cell>
          <cell r="F21">
            <v>0</v>
          </cell>
          <cell r="G21">
            <v>1</v>
          </cell>
          <cell r="H21">
            <v>0</v>
          </cell>
          <cell r="I21">
            <v>0</v>
          </cell>
          <cell r="J21">
            <v>0</v>
          </cell>
          <cell r="K21">
            <v>0</v>
          </cell>
          <cell r="L21">
            <v>1</v>
          </cell>
          <cell r="M21">
            <v>1</v>
          </cell>
          <cell r="N21">
            <v>0</v>
          </cell>
          <cell r="O21">
            <v>0</v>
          </cell>
          <cell r="P21">
            <v>0</v>
          </cell>
          <cell r="Q21">
            <v>0</v>
          </cell>
          <cell r="R21">
            <v>0</v>
          </cell>
          <cell r="S21">
            <v>0</v>
          </cell>
          <cell r="T21">
            <v>1</v>
          </cell>
          <cell r="U21">
            <v>1</v>
          </cell>
          <cell r="V21">
            <v>0</v>
          </cell>
          <cell r="W21">
            <v>2</v>
          </cell>
          <cell r="X21">
            <v>0</v>
          </cell>
          <cell r="Y21">
            <v>1</v>
          </cell>
          <cell r="Z21">
            <v>0</v>
          </cell>
          <cell r="AA21">
            <v>0</v>
          </cell>
        </row>
        <row r="22">
          <cell r="A22">
            <v>21</v>
          </cell>
          <cell r="B22">
            <v>0</v>
          </cell>
          <cell r="C22">
            <v>0</v>
          </cell>
          <cell r="D22">
            <v>0</v>
          </cell>
          <cell r="E22">
            <v>0</v>
          </cell>
          <cell r="F22">
            <v>0</v>
          </cell>
          <cell r="G22">
            <v>0</v>
          </cell>
          <cell r="H22">
            <v>0</v>
          </cell>
          <cell r="I22">
            <v>0</v>
          </cell>
          <cell r="J22">
            <v>0</v>
          </cell>
          <cell r="K22">
            <v>0</v>
          </cell>
          <cell r="L22">
            <v>0</v>
          </cell>
          <cell r="M22">
            <v>1</v>
          </cell>
          <cell r="N22">
            <v>0</v>
          </cell>
          <cell r="O22">
            <v>0</v>
          </cell>
          <cell r="P22">
            <v>0</v>
          </cell>
          <cell r="Q22">
            <v>0</v>
          </cell>
          <cell r="R22">
            <v>0</v>
          </cell>
          <cell r="S22">
            <v>1</v>
          </cell>
          <cell r="T22">
            <v>0</v>
          </cell>
          <cell r="U22">
            <v>0</v>
          </cell>
          <cell r="V22">
            <v>0</v>
          </cell>
          <cell r="W22">
            <v>1</v>
          </cell>
          <cell r="X22">
            <v>1</v>
          </cell>
          <cell r="Y22">
            <v>1</v>
          </cell>
          <cell r="Z22">
            <v>0</v>
          </cell>
          <cell r="AA22">
            <v>0</v>
          </cell>
        </row>
        <row r="23">
          <cell r="A23">
            <v>22</v>
          </cell>
          <cell r="B23">
            <v>0</v>
          </cell>
          <cell r="C23">
            <v>0</v>
          </cell>
          <cell r="D23">
            <v>0</v>
          </cell>
          <cell r="E23">
            <v>0</v>
          </cell>
          <cell r="F23">
            <v>0</v>
          </cell>
          <cell r="G23">
            <v>0</v>
          </cell>
          <cell r="H23">
            <v>0</v>
          </cell>
          <cell r="I23">
            <v>0</v>
          </cell>
          <cell r="J23">
            <v>0</v>
          </cell>
          <cell r="K23">
            <v>0</v>
          </cell>
          <cell r="L23">
            <v>0</v>
          </cell>
          <cell r="M23">
            <v>1</v>
          </cell>
          <cell r="N23">
            <v>0</v>
          </cell>
          <cell r="O23">
            <v>0</v>
          </cell>
          <cell r="P23">
            <v>0</v>
          </cell>
          <cell r="Q23">
            <v>0</v>
          </cell>
          <cell r="R23">
            <v>1</v>
          </cell>
          <cell r="S23">
            <v>0</v>
          </cell>
          <cell r="T23">
            <v>0</v>
          </cell>
          <cell r="U23">
            <v>0</v>
          </cell>
          <cell r="V23">
            <v>0</v>
          </cell>
          <cell r="W23">
            <v>1</v>
          </cell>
          <cell r="X23">
            <v>1</v>
          </cell>
          <cell r="Y23">
            <v>0</v>
          </cell>
          <cell r="Z23">
            <v>0</v>
          </cell>
          <cell r="AA23">
            <v>0</v>
          </cell>
        </row>
        <row r="24">
          <cell r="A24">
            <v>23</v>
          </cell>
          <cell r="B24">
            <v>0</v>
          </cell>
          <cell r="C24">
            <v>0</v>
          </cell>
          <cell r="D24">
            <v>0</v>
          </cell>
          <cell r="E24">
            <v>0</v>
          </cell>
          <cell r="F24">
            <v>0</v>
          </cell>
          <cell r="G24">
            <v>1</v>
          </cell>
          <cell r="H24">
            <v>0</v>
          </cell>
          <cell r="I24">
            <v>0</v>
          </cell>
          <cell r="J24">
            <v>0</v>
          </cell>
          <cell r="K24">
            <v>0</v>
          </cell>
          <cell r="L24">
            <v>0</v>
          </cell>
          <cell r="M24">
            <v>0</v>
          </cell>
          <cell r="N24">
            <v>0</v>
          </cell>
          <cell r="O24">
            <v>0</v>
          </cell>
          <cell r="P24">
            <v>0</v>
          </cell>
          <cell r="Q24">
            <v>0</v>
          </cell>
          <cell r="R24">
            <v>1</v>
          </cell>
          <cell r="S24">
            <v>1</v>
          </cell>
          <cell r="T24">
            <v>0</v>
          </cell>
          <cell r="U24">
            <v>0</v>
          </cell>
          <cell r="V24">
            <v>0</v>
          </cell>
          <cell r="W24">
            <v>1</v>
          </cell>
          <cell r="X24">
            <v>2</v>
          </cell>
          <cell r="Y24">
            <v>1</v>
          </cell>
          <cell r="Z24">
            <v>0</v>
          </cell>
          <cell r="AA24">
            <v>0</v>
          </cell>
        </row>
        <row r="25">
          <cell r="A25">
            <v>24</v>
          </cell>
          <cell r="B25">
            <v>0</v>
          </cell>
          <cell r="C25">
            <v>0</v>
          </cell>
          <cell r="D25">
            <v>0</v>
          </cell>
          <cell r="E25">
            <v>0</v>
          </cell>
          <cell r="F25">
            <v>0</v>
          </cell>
          <cell r="G25">
            <v>1</v>
          </cell>
          <cell r="H25">
            <v>0</v>
          </cell>
          <cell r="I25">
            <v>0</v>
          </cell>
          <cell r="J25">
            <v>0</v>
          </cell>
          <cell r="K25">
            <v>0</v>
          </cell>
          <cell r="L25">
            <v>0</v>
          </cell>
          <cell r="M25">
            <v>0</v>
          </cell>
          <cell r="N25">
            <v>0</v>
          </cell>
          <cell r="O25">
            <v>0</v>
          </cell>
          <cell r="P25">
            <v>0</v>
          </cell>
          <cell r="Q25">
            <v>0</v>
          </cell>
          <cell r="R25">
            <v>1</v>
          </cell>
          <cell r="S25">
            <v>0</v>
          </cell>
          <cell r="T25">
            <v>1</v>
          </cell>
          <cell r="U25">
            <v>0</v>
          </cell>
          <cell r="V25">
            <v>0</v>
          </cell>
          <cell r="W25">
            <v>1</v>
          </cell>
          <cell r="X25">
            <v>1</v>
          </cell>
          <cell r="Y25">
            <v>0</v>
          </cell>
          <cell r="Z25">
            <v>0</v>
          </cell>
          <cell r="AA25">
            <v>0</v>
          </cell>
        </row>
        <row r="26">
          <cell r="A26">
            <v>25</v>
          </cell>
          <cell r="B26">
            <v>0</v>
          </cell>
          <cell r="C26">
            <v>0</v>
          </cell>
          <cell r="D26">
            <v>0</v>
          </cell>
          <cell r="E26">
            <v>0</v>
          </cell>
          <cell r="F26">
            <v>0</v>
          </cell>
          <cell r="G26">
            <v>0</v>
          </cell>
          <cell r="H26">
            <v>0</v>
          </cell>
          <cell r="I26">
            <v>0</v>
          </cell>
          <cell r="J26">
            <v>0</v>
          </cell>
          <cell r="K26">
            <v>0</v>
          </cell>
          <cell r="L26">
            <v>0</v>
          </cell>
          <cell r="M26">
            <v>1</v>
          </cell>
          <cell r="N26">
            <v>0</v>
          </cell>
          <cell r="O26">
            <v>0</v>
          </cell>
          <cell r="P26">
            <v>0</v>
          </cell>
          <cell r="Q26">
            <v>0</v>
          </cell>
          <cell r="R26">
            <v>0</v>
          </cell>
          <cell r="S26">
            <v>0</v>
          </cell>
          <cell r="T26">
            <v>1</v>
          </cell>
          <cell r="U26">
            <v>0</v>
          </cell>
          <cell r="V26">
            <v>0</v>
          </cell>
          <cell r="W26">
            <v>1</v>
          </cell>
          <cell r="X26">
            <v>0</v>
          </cell>
          <cell r="Y26">
            <v>1</v>
          </cell>
          <cell r="Z26">
            <v>0</v>
          </cell>
          <cell r="AA26">
            <v>0</v>
          </cell>
        </row>
        <row r="27">
          <cell r="A27">
            <v>26</v>
          </cell>
          <cell r="B27">
            <v>0</v>
          </cell>
          <cell r="C27">
            <v>0</v>
          </cell>
          <cell r="D27">
            <v>0</v>
          </cell>
          <cell r="E27">
            <v>0</v>
          </cell>
          <cell r="F27">
            <v>0</v>
          </cell>
          <cell r="G27">
            <v>0</v>
          </cell>
          <cell r="H27">
            <v>0</v>
          </cell>
          <cell r="I27">
            <v>0</v>
          </cell>
          <cell r="J27">
            <v>0</v>
          </cell>
          <cell r="K27">
            <v>0</v>
          </cell>
          <cell r="L27">
            <v>0</v>
          </cell>
          <cell r="M27">
            <v>1</v>
          </cell>
          <cell r="N27">
            <v>0</v>
          </cell>
          <cell r="O27">
            <v>0</v>
          </cell>
          <cell r="P27">
            <v>0</v>
          </cell>
          <cell r="Q27">
            <v>0</v>
          </cell>
          <cell r="R27">
            <v>0</v>
          </cell>
          <cell r="S27">
            <v>0</v>
          </cell>
          <cell r="T27">
            <v>1</v>
          </cell>
          <cell r="U27">
            <v>0</v>
          </cell>
          <cell r="V27">
            <v>0</v>
          </cell>
          <cell r="W27">
            <v>1</v>
          </cell>
          <cell r="X27">
            <v>1</v>
          </cell>
          <cell r="Y27">
            <v>1</v>
          </cell>
          <cell r="Z27">
            <v>0</v>
          </cell>
          <cell r="AA27">
            <v>0</v>
          </cell>
        </row>
        <row r="28">
          <cell r="A28">
            <v>27</v>
          </cell>
          <cell r="B28">
            <v>0</v>
          </cell>
          <cell r="C28">
            <v>0</v>
          </cell>
          <cell r="D28">
            <v>0</v>
          </cell>
          <cell r="E28">
            <v>0</v>
          </cell>
          <cell r="F28">
            <v>0</v>
          </cell>
          <cell r="G28">
            <v>0</v>
          </cell>
          <cell r="H28">
            <v>0</v>
          </cell>
          <cell r="I28">
            <v>0</v>
          </cell>
          <cell r="J28">
            <v>0</v>
          </cell>
          <cell r="K28">
            <v>0</v>
          </cell>
          <cell r="L28">
            <v>0</v>
          </cell>
          <cell r="M28">
            <v>1</v>
          </cell>
          <cell r="N28">
            <v>0</v>
          </cell>
          <cell r="O28">
            <v>0</v>
          </cell>
          <cell r="P28">
            <v>0</v>
          </cell>
          <cell r="Q28">
            <v>0</v>
          </cell>
          <cell r="R28">
            <v>0</v>
          </cell>
          <cell r="S28">
            <v>0</v>
          </cell>
          <cell r="T28">
            <v>0</v>
          </cell>
          <cell r="U28">
            <v>0</v>
          </cell>
          <cell r="V28">
            <v>0</v>
          </cell>
          <cell r="W28">
            <v>0</v>
          </cell>
          <cell r="X28">
            <v>1</v>
          </cell>
          <cell r="Y28">
            <v>1</v>
          </cell>
          <cell r="Z28">
            <v>0</v>
          </cell>
          <cell r="AA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1</v>
          </cell>
          <cell r="U29">
            <v>0</v>
          </cell>
          <cell r="V29">
            <v>0</v>
          </cell>
          <cell r="W29">
            <v>1</v>
          </cell>
          <cell r="X29">
            <v>1</v>
          </cell>
          <cell r="Y29">
            <v>0</v>
          </cell>
          <cell r="Z29">
            <v>0</v>
          </cell>
          <cell r="AA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Unnamed: 0</v>
          </cell>
          <cell r="C1" t="str">
            <v>AH</v>
          </cell>
          <cell r="D1" t="str">
            <v>AMA</v>
          </cell>
          <cell r="E1" t="str">
            <v>DEM</v>
          </cell>
          <cell r="F1" t="str">
            <v>EVO</v>
          </cell>
          <cell r="G1" t="str">
            <v>FA</v>
          </cell>
          <cell r="H1" t="str">
            <v>FREVS</v>
          </cell>
          <cell r="I1" t="str">
            <v>IGU</v>
          </cell>
          <cell r="J1" t="str">
            <v>IND</v>
          </cell>
          <cell r="K1" t="str">
            <v>PAVP</v>
          </cell>
          <cell r="L1" t="str">
            <v>PCCH</v>
          </cell>
          <cell r="M1" t="str">
            <v>PDC</v>
          </cell>
          <cell r="N1" t="str">
            <v>PDG</v>
          </cell>
          <cell r="O1" t="str">
            <v>PH</v>
          </cell>
          <cell r="P1" t="str">
            <v>PL</v>
          </cell>
          <cell r="Q1" t="str">
            <v>POP</v>
          </cell>
          <cell r="R1" t="str">
            <v>PPD</v>
          </cell>
          <cell r="S1" t="str">
            <v>PR</v>
          </cell>
          <cell r="T1" t="str">
            <v>PS</v>
          </cell>
          <cell r="U1" t="str">
            <v>PSC</v>
          </cell>
          <cell r="V1" t="str">
            <v>PTR</v>
          </cell>
          <cell r="W1" t="str">
            <v>REP</v>
          </cell>
          <cell r="X1" t="str">
            <v>RN</v>
          </cell>
          <cell r="Y1" t="str">
            <v>UDI</v>
          </cell>
          <cell r="Z1" t="str">
            <v>Votos Blancos</v>
          </cell>
          <cell r="AA1" t="str">
            <v>Votos Nulos</v>
          </cell>
        </row>
        <row r="2">
          <cell r="A2">
            <v>1</v>
          </cell>
          <cell r="B2">
            <v>0</v>
          </cell>
          <cell r="C2">
            <v>0</v>
          </cell>
          <cell r="D2">
            <v>0</v>
          </cell>
          <cell r="E2">
            <v>0</v>
          </cell>
          <cell r="F2">
            <v>0</v>
          </cell>
          <cell r="G2">
            <v>0</v>
          </cell>
          <cell r="H2">
            <v>0</v>
          </cell>
          <cell r="I2">
            <v>0</v>
          </cell>
          <cell r="J2">
            <v>0</v>
          </cell>
          <cell r="K2">
            <v>0</v>
          </cell>
          <cell r="L2">
            <v>1</v>
          </cell>
          <cell r="M2">
            <v>0</v>
          </cell>
          <cell r="N2">
            <v>0</v>
          </cell>
          <cell r="O2">
            <v>0</v>
          </cell>
          <cell r="P2">
            <v>0</v>
          </cell>
          <cell r="Q2">
            <v>0</v>
          </cell>
          <cell r="R2">
            <v>0</v>
          </cell>
          <cell r="S2">
            <v>0</v>
          </cell>
          <cell r="T2">
            <v>0</v>
          </cell>
          <cell r="U2">
            <v>0</v>
          </cell>
          <cell r="V2">
            <v>0</v>
          </cell>
          <cell r="W2">
            <v>1</v>
          </cell>
          <cell r="X2">
            <v>1</v>
          </cell>
          <cell r="Y2">
            <v>0</v>
          </cell>
          <cell r="Z2">
            <v>0</v>
          </cell>
          <cell r="AA2">
            <v>0</v>
          </cell>
        </row>
        <row r="3">
          <cell r="A3">
            <v>2</v>
          </cell>
          <cell r="B3">
            <v>0</v>
          </cell>
          <cell r="C3">
            <v>0</v>
          </cell>
          <cell r="D3">
            <v>0</v>
          </cell>
          <cell r="E3">
            <v>0</v>
          </cell>
          <cell r="F3">
            <v>0</v>
          </cell>
          <cell r="G3">
            <v>1</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1</v>
          </cell>
          <cell r="X3">
            <v>1</v>
          </cell>
          <cell r="Y3">
            <v>0</v>
          </cell>
          <cell r="Z3">
            <v>0</v>
          </cell>
          <cell r="AA3">
            <v>0</v>
          </cell>
        </row>
        <row r="4">
          <cell r="A4">
            <v>3</v>
          </cell>
          <cell r="B4">
            <v>0</v>
          </cell>
          <cell r="C4">
            <v>0</v>
          </cell>
          <cell r="D4">
            <v>0</v>
          </cell>
          <cell r="E4">
            <v>0</v>
          </cell>
          <cell r="F4">
            <v>0</v>
          </cell>
          <cell r="G4">
            <v>0</v>
          </cell>
          <cell r="H4">
            <v>1</v>
          </cell>
          <cell r="I4">
            <v>0</v>
          </cell>
          <cell r="J4">
            <v>0</v>
          </cell>
          <cell r="K4">
            <v>0</v>
          </cell>
          <cell r="L4">
            <v>1</v>
          </cell>
          <cell r="M4">
            <v>0</v>
          </cell>
          <cell r="N4">
            <v>0</v>
          </cell>
          <cell r="O4">
            <v>0</v>
          </cell>
          <cell r="P4">
            <v>0</v>
          </cell>
          <cell r="Q4">
            <v>0</v>
          </cell>
          <cell r="R4">
            <v>0</v>
          </cell>
          <cell r="S4">
            <v>1</v>
          </cell>
          <cell r="T4">
            <v>0</v>
          </cell>
          <cell r="U4">
            <v>0</v>
          </cell>
          <cell r="V4">
            <v>0</v>
          </cell>
          <cell r="W4">
            <v>1</v>
          </cell>
          <cell r="X4">
            <v>1</v>
          </cell>
          <cell r="Y4">
            <v>0</v>
          </cell>
          <cell r="Z4">
            <v>0</v>
          </cell>
          <cell r="AA4">
            <v>0</v>
          </cell>
        </row>
        <row r="5">
          <cell r="A5">
            <v>4</v>
          </cell>
          <cell r="B5">
            <v>0</v>
          </cell>
          <cell r="C5">
            <v>0</v>
          </cell>
          <cell r="D5">
            <v>0</v>
          </cell>
          <cell r="E5">
            <v>0</v>
          </cell>
          <cell r="F5">
            <v>0</v>
          </cell>
          <cell r="G5">
            <v>0</v>
          </cell>
          <cell r="H5">
            <v>1</v>
          </cell>
          <cell r="I5">
            <v>0</v>
          </cell>
          <cell r="J5">
            <v>0</v>
          </cell>
          <cell r="K5">
            <v>0</v>
          </cell>
          <cell r="L5">
            <v>0</v>
          </cell>
          <cell r="M5">
            <v>0</v>
          </cell>
          <cell r="N5">
            <v>0</v>
          </cell>
          <cell r="O5">
            <v>0</v>
          </cell>
          <cell r="P5">
            <v>0</v>
          </cell>
          <cell r="Q5">
            <v>0</v>
          </cell>
          <cell r="R5">
            <v>0</v>
          </cell>
          <cell r="S5">
            <v>1</v>
          </cell>
          <cell r="T5">
            <v>1</v>
          </cell>
          <cell r="U5">
            <v>0</v>
          </cell>
          <cell r="V5">
            <v>0</v>
          </cell>
          <cell r="W5">
            <v>1</v>
          </cell>
          <cell r="X5">
            <v>1</v>
          </cell>
          <cell r="Y5">
            <v>0</v>
          </cell>
          <cell r="Z5">
            <v>0</v>
          </cell>
          <cell r="AA5">
            <v>0</v>
          </cell>
        </row>
        <row r="6">
          <cell r="A6">
            <v>5</v>
          </cell>
          <cell r="B6">
            <v>0</v>
          </cell>
          <cell r="C6">
            <v>0</v>
          </cell>
          <cell r="D6">
            <v>0</v>
          </cell>
          <cell r="E6">
            <v>0</v>
          </cell>
          <cell r="F6">
            <v>0</v>
          </cell>
          <cell r="G6">
            <v>1</v>
          </cell>
          <cell r="H6">
            <v>0</v>
          </cell>
          <cell r="I6">
            <v>0</v>
          </cell>
          <cell r="J6">
            <v>0</v>
          </cell>
          <cell r="K6">
            <v>0</v>
          </cell>
          <cell r="L6">
            <v>1</v>
          </cell>
          <cell r="M6">
            <v>1</v>
          </cell>
          <cell r="N6">
            <v>0</v>
          </cell>
          <cell r="O6">
            <v>0</v>
          </cell>
          <cell r="P6">
            <v>0</v>
          </cell>
          <cell r="Q6">
            <v>0</v>
          </cell>
          <cell r="R6">
            <v>0</v>
          </cell>
          <cell r="S6">
            <v>0</v>
          </cell>
          <cell r="T6">
            <v>1</v>
          </cell>
          <cell r="U6">
            <v>0</v>
          </cell>
          <cell r="V6">
            <v>0</v>
          </cell>
          <cell r="W6">
            <v>1</v>
          </cell>
          <cell r="X6">
            <v>1</v>
          </cell>
          <cell r="Y6">
            <v>1</v>
          </cell>
          <cell r="Z6">
            <v>0</v>
          </cell>
          <cell r="AA6">
            <v>0</v>
          </cell>
        </row>
        <row r="7">
          <cell r="A7">
            <v>6</v>
          </cell>
          <cell r="B7">
            <v>0</v>
          </cell>
          <cell r="C7">
            <v>0</v>
          </cell>
          <cell r="D7">
            <v>0</v>
          </cell>
          <cell r="E7">
            <v>0</v>
          </cell>
          <cell r="F7">
            <v>0</v>
          </cell>
          <cell r="G7">
            <v>1</v>
          </cell>
          <cell r="H7">
            <v>0</v>
          </cell>
          <cell r="I7">
            <v>0</v>
          </cell>
          <cell r="J7">
            <v>0</v>
          </cell>
          <cell r="K7">
            <v>0</v>
          </cell>
          <cell r="L7">
            <v>1</v>
          </cell>
          <cell r="M7">
            <v>1</v>
          </cell>
          <cell r="N7">
            <v>0</v>
          </cell>
          <cell r="O7">
            <v>0</v>
          </cell>
          <cell r="P7">
            <v>0</v>
          </cell>
          <cell r="Q7">
            <v>0</v>
          </cell>
          <cell r="R7">
            <v>0</v>
          </cell>
          <cell r="S7">
            <v>0</v>
          </cell>
          <cell r="T7">
            <v>0</v>
          </cell>
          <cell r="U7">
            <v>0</v>
          </cell>
          <cell r="V7">
            <v>0</v>
          </cell>
          <cell r="W7">
            <v>2</v>
          </cell>
          <cell r="X7">
            <v>2</v>
          </cell>
          <cell r="Y7">
            <v>1</v>
          </cell>
          <cell r="Z7">
            <v>0</v>
          </cell>
          <cell r="AA7">
            <v>0</v>
          </cell>
        </row>
        <row r="8">
          <cell r="A8">
            <v>7</v>
          </cell>
          <cell r="B8">
            <v>0</v>
          </cell>
          <cell r="C8">
            <v>0</v>
          </cell>
          <cell r="D8">
            <v>0</v>
          </cell>
          <cell r="E8">
            <v>0</v>
          </cell>
          <cell r="F8">
            <v>0</v>
          </cell>
          <cell r="G8">
            <v>2</v>
          </cell>
          <cell r="H8">
            <v>0</v>
          </cell>
          <cell r="I8">
            <v>0</v>
          </cell>
          <cell r="J8">
            <v>0</v>
          </cell>
          <cell r="K8">
            <v>0</v>
          </cell>
          <cell r="L8">
            <v>1</v>
          </cell>
          <cell r="M8">
            <v>1</v>
          </cell>
          <cell r="N8">
            <v>0</v>
          </cell>
          <cell r="O8">
            <v>0</v>
          </cell>
          <cell r="P8">
            <v>0</v>
          </cell>
          <cell r="Q8">
            <v>0</v>
          </cell>
          <cell r="R8">
            <v>0</v>
          </cell>
          <cell r="S8">
            <v>0</v>
          </cell>
          <cell r="T8">
            <v>0</v>
          </cell>
          <cell r="U8">
            <v>0</v>
          </cell>
          <cell r="V8">
            <v>0</v>
          </cell>
          <cell r="W8">
            <v>2</v>
          </cell>
          <cell r="X8">
            <v>1</v>
          </cell>
          <cell r="Y8">
            <v>1</v>
          </cell>
          <cell r="Z8">
            <v>0</v>
          </cell>
          <cell r="AA8">
            <v>0</v>
          </cell>
        </row>
        <row r="9">
          <cell r="A9">
            <v>8</v>
          </cell>
          <cell r="B9">
            <v>0</v>
          </cell>
          <cell r="C9">
            <v>0</v>
          </cell>
          <cell r="D9">
            <v>0</v>
          </cell>
          <cell r="E9">
            <v>0</v>
          </cell>
          <cell r="F9">
            <v>0</v>
          </cell>
          <cell r="G9">
            <v>3</v>
          </cell>
          <cell r="H9">
            <v>0</v>
          </cell>
          <cell r="I9">
            <v>0</v>
          </cell>
          <cell r="J9">
            <v>0</v>
          </cell>
          <cell r="K9">
            <v>0</v>
          </cell>
          <cell r="L9">
            <v>1</v>
          </cell>
          <cell r="M9">
            <v>1</v>
          </cell>
          <cell r="N9">
            <v>0</v>
          </cell>
          <cell r="O9">
            <v>0</v>
          </cell>
          <cell r="P9">
            <v>0</v>
          </cell>
          <cell r="Q9">
            <v>0</v>
          </cell>
          <cell r="R9">
            <v>0</v>
          </cell>
          <cell r="S9">
            <v>0</v>
          </cell>
          <cell r="T9">
            <v>0</v>
          </cell>
          <cell r="U9">
            <v>0</v>
          </cell>
          <cell r="V9">
            <v>0</v>
          </cell>
          <cell r="W9">
            <v>1</v>
          </cell>
          <cell r="X9">
            <v>1</v>
          </cell>
          <cell r="Y9">
            <v>1</v>
          </cell>
          <cell r="Z9">
            <v>0</v>
          </cell>
          <cell r="AA9">
            <v>0</v>
          </cell>
        </row>
        <row r="10">
          <cell r="A10">
            <v>9</v>
          </cell>
          <cell r="B10">
            <v>0</v>
          </cell>
          <cell r="C10">
            <v>0</v>
          </cell>
          <cell r="D10">
            <v>0</v>
          </cell>
          <cell r="E10">
            <v>0</v>
          </cell>
          <cell r="F10">
            <v>0</v>
          </cell>
          <cell r="G10">
            <v>1</v>
          </cell>
          <cell r="H10">
            <v>0</v>
          </cell>
          <cell r="I10">
            <v>0</v>
          </cell>
          <cell r="J10">
            <v>0</v>
          </cell>
          <cell r="K10">
            <v>0</v>
          </cell>
          <cell r="L10">
            <v>1</v>
          </cell>
          <cell r="M10">
            <v>0</v>
          </cell>
          <cell r="N10">
            <v>0</v>
          </cell>
          <cell r="O10">
            <v>0</v>
          </cell>
          <cell r="P10">
            <v>0</v>
          </cell>
          <cell r="Q10">
            <v>0</v>
          </cell>
          <cell r="R10">
            <v>1</v>
          </cell>
          <cell r="S10">
            <v>0</v>
          </cell>
          <cell r="T10">
            <v>1</v>
          </cell>
          <cell r="U10">
            <v>0</v>
          </cell>
          <cell r="V10">
            <v>0</v>
          </cell>
          <cell r="W10">
            <v>1</v>
          </cell>
          <cell r="X10">
            <v>1</v>
          </cell>
          <cell r="Y10">
            <v>1</v>
          </cell>
          <cell r="Z10">
            <v>0</v>
          </cell>
          <cell r="AA10">
            <v>0</v>
          </cell>
        </row>
        <row r="11">
          <cell r="A11">
            <v>10</v>
          </cell>
          <cell r="B11">
            <v>0</v>
          </cell>
          <cell r="C11">
            <v>0</v>
          </cell>
          <cell r="D11">
            <v>0</v>
          </cell>
          <cell r="E11">
            <v>0</v>
          </cell>
          <cell r="F11">
            <v>0</v>
          </cell>
          <cell r="G11">
            <v>2</v>
          </cell>
          <cell r="H11">
            <v>0</v>
          </cell>
          <cell r="I11">
            <v>0</v>
          </cell>
          <cell r="J11">
            <v>0</v>
          </cell>
          <cell r="K11">
            <v>0</v>
          </cell>
          <cell r="L11">
            <v>1</v>
          </cell>
          <cell r="M11">
            <v>0</v>
          </cell>
          <cell r="N11">
            <v>0</v>
          </cell>
          <cell r="O11">
            <v>0</v>
          </cell>
          <cell r="P11">
            <v>0</v>
          </cell>
          <cell r="Q11">
            <v>0</v>
          </cell>
          <cell r="R11">
            <v>0</v>
          </cell>
          <cell r="S11">
            <v>0</v>
          </cell>
          <cell r="T11">
            <v>1</v>
          </cell>
          <cell r="U11">
            <v>0</v>
          </cell>
          <cell r="V11">
            <v>0</v>
          </cell>
          <cell r="W11">
            <v>1</v>
          </cell>
          <cell r="X11">
            <v>2</v>
          </cell>
          <cell r="Y11">
            <v>1</v>
          </cell>
          <cell r="Z11">
            <v>0</v>
          </cell>
          <cell r="AA11">
            <v>0</v>
          </cell>
        </row>
        <row r="12">
          <cell r="A12">
            <v>11</v>
          </cell>
          <cell r="B12">
            <v>0</v>
          </cell>
          <cell r="C12">
            <v>0</v>
          </cell>
          <cell r="D12">
            <v>0</v>
          </cell>
          <cell r="E12">
            <v>0</v>
          </cell>
          <cell r="F12">
            <v>1</v>
          </cell>
          <cell r="G12">
            <v>1</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2</v>
          </cell>
          <cell r="X12">
            <v>1</v>
          </cell>
          <cell r="Y12">
            <v>1</v>
          </cell>
          <cell r="Z12">
            <v>0</v>
          </cell>
          <cell r="AA12">
            <v>0</v>
          </cell>
        </row>
        <row r="13">
          <cell r="A13">
            <v>12</v>
          </cell>
          <cell r="B13">
            <v>0</v>
          </cell>
          <cell r="C13">
            <v>0</v>
          </cell>
          <cell r="D13">
            <v>0</v>
          </cell>
          <cell r="E13">
            <v>0</v>
          </cell>
          <cell r="F13">
            <v>0</v>
          </cell>
          <cell r="G13">
            <v>1</v>
          </cell>
          <cell r="H13">
            <v>0</v>
          </cell>
          <cell r="I13">
            <v>0</v>
          </cell>
          <cell r="J13">
            <v>0</v>
          </cell>
          <cell r="K13">
            <v>1</v>
          </cell>
          <cell r="L13">
            <v>2</v>
          </cell>
          <cell r="M13">
            <v>0</v>
          </cell>
          <cell r="N13">
            <v>0</v>
          </cell>
          <cell r="O13">
            <v>0</v>
          </cell>
          <cell r="P13">
            <v>0</v>
          </cell>
          <cell r="Q13">
            <v>0</v>
          </cell>
          <cell r="R13">
            <v>0</v>
          </cell>
          <cell r="S13">
            <v>0</v>
          </cell>
          <cell r="T13">
            <v>0</v>
          </cell>
          <cell r="U13">
            <v>0</v>
          </cell>
          <cell r="V13">
            <v>0</v>
          </cell>
          <cell r="W13">
            <v>1</v>
          </cell>
          <cell r="X13">
            <v>2</v>
          </cell>
          <cell r="Y13">
            <v>0</v>
          </cell>
          <cell r="Z13">
            <v>0</v>
          </cell>
          <cell r="AA13">
            <v>0</v>
          </cell>
        </row>
        <row r="14">
          <cell r="A14">
            <v>13</v>
          </cell>
          <cell r="B14">
            <v>0</v>
          </cell>
          <cell r="C14">
            <v>0</v>
          </cell>
          <cell r="D14">
            <v>0</v>
          </cell>
          <cell r="E14">
            <v>0</v>
          </cell>
          <cell r="F14">
            <v>0</v>
          </cell>
          <cell r="G14">
            <v>1</v>
          </cell>
          <cell r="H14">
            <v>0</v>
          </cell>
          <cell r="I14">
            <v>0</v>
          </cell>
          <cell r="J14">
            <v>0</v>
          </cell>
          <cell r="K14">
            <v>0</v>
          </cell>
          <cell r="L14">
            <v>1</v>
          </cell>
          <cell r="M14">
            <v>0</v>
          </cell>
          <cell r="N14">
            <v>0</v>
          </cell>
          <cell r="O14">
            <v>0</v>
          </cell>
          <cell r="P14">
            <v>0</v>
          </cell>
          <cell r="Q14">
            <v>0</v>
          </cell>
          <cell r="R14">
            <v>0</v>
          </cell>
          <cell r="S14">
            <v>0</v>
          </cell>
          <cell r="T14">
            <v>1</v>
          </cell>
          <cell r="U14">
            <v>0</v>
          </cell>
          <cell r="V14">
            <v>0</v>
          </cell>
          <cell r="W14">
            <v>1</v>
          </cell>
          <cell r="X14">
            <v>1</v>
          </cell>
          <cell r="Y14">
            <v>0</v>
          </cell>
          <cell r="Z14">
            <v>0</v>
          </cell>
          <cell r="AA14">
            <v>0</v>
          </cell>
        </row>
        <row r="15">
          <cell r="A15">
            <v>14</v>
          </cell>
          <cell r="B15">
            <v>0</v>
          </cell>
          <cell r="C15">
            <v>0</v>
          </cell>
          <cell r="D15">
            <v>0</v>
          </cell>
          <cell r="E15">
            <v>0</v>
          </cell>
          <cell r="F15">
            <v>0</v>
          </cell>
          <cell r="G15">
            <v>1</v>
          </cell>
          <cell r="H15">
            <v>0</v>
          </cell>
          <cell r="I15">
            <v>0</v>
          </cell>
          <cell r="J15">
            <v>0</v>
          </cell>
          <cell r="K15">
            <v>0</v>
          </cell>
          <cell r="L15">
            <v>0</v>
          </cell>
          <cell r="M15">
            <v>1</v>
          </cell>
          <cell r="N15">
            <v>0</v>
          </cell>
          <cell r="O15">
            <v>0</v>
          </cell>
          <cell r="P15">
            <v>0</v>
          </cell>
          <cell r="Q15">
            <v>0</v>
          </cell>
          <cell r="R15">
            <v>0</v>
          </cell>
          <cell r="S15">
            <v>0</v>
          </cell>
          <cell r="T15">
            <v>1</v>
          </cell>
          <cell r="U15">
            <v>0</v>
          </cell>
          <cell r="V15">
            <v>0</v>
          </cell>
          <cell r="W15">
            <v>1</v>
          </cell>
          <cell r="X15">
            <v>1</v>
          </cell>
          <cell r="Y15">
            <v>1</v>
          </cell>
          <cell r="Z15">
            <v>0</v>
          </cell>
          <cell r="AA15">
            <v>0</v>
          </cell>
        </row>
        <row r="16">
          <cell r="A16">
            <v>15</v>
          </cell>
          <cell r="B16">
            <v>0</v>
          </cell>
          <cell r="C16">
            <v>0</v>
          </cell>
          <cell r="D16">
            <v>0</v>
          </cell>
          <cell r="E16">
            <v>0</v>
          </cell>
          <cell r="F16">
            <v>0</v>
          </cell>
          <cell r="G16">
            <v>1</v>
          </cell>
          <cell r="H16">
            <v>0</v>
          </cell>
          <cell r="I16">
            <v>0</v>
          </cell>
          <cell r="J16">
            <v>0</v>
          </cell>
          <cell r="K16">
            <v>0</v>
          </cell>
          <cell r="L16">
            <v>0</v>
          </cell>
          <cell r="M16">
            <v>0</v>
          </cell>
          <cell r="N16">
            <v>0</v>
          </cell>
          <cell r="O16">
            <v>0</v>
          </cell>
          <cell r="P16">
            <v>0</v>
          </cell>
          <cell r="Q16">
            <v>0</v>
          </cell>
          <cell r="R16">
            <v>0</v>
          </cell>
          <cell r="S16">
            <v>1</v>
          </cell>
          <cell r="T16">
            <v>1</v>
          </cell>
          <cell r="U16">
            <v>0</v>
          </cell>
          <cell r="V16">
            <v>0</v>
          </cell>
          <cell r="W16">
            <v>1</v>
          </cell>
          <cell r="X16">
            <v>1</v>
          </cell>
          <cell r="Y16">
            <v>0</v>
          </cell>
          <cell r="Z16">
            <v>0</v>
          </cell>
          <cell r="AA16">
            <v>0</v>
          </cell>
        </row>
        <row r="17">
          <cell r="A17">
            <v>16</v>
          </cell>
          <cell r="B17">
            <v>0</v>
          </cell>
          <cell r="C17">
            <v>0</v>
          </cell>
          <cell r="D17">
            <v>0</v>
          </cell>
          <cell r="E17">
            <v>0</v>
          </cell>
          <cell r="F17">
            <v>0</v>
          </cell>
          <cell r="G17">
            <v>0</v>
          </cell>
          <cell r="H17">
            <v>0</v>
          </cell>
          <cell r="I17">
            <v>0</v>
          </cell>
          <cell r="J17">
            <v>0</v>
          </cell>
          <cell r="K17">
            <v>0</v>
          </cell>
          <cell r="L17">
            <v>0</v>
          </cell>
          <cell r="M17">
            <v>1</v>
          </cell>
          <cell r="N17">
            <v>0</v>
          </cell>
          <cell r="O17">
            <v>0</v>
          </cell>
          <cell r="P17">
            <v>0</v>
          </cell>
          <cell r="Q17">
            <v>0</v>
          </cell>
          <cell r="R17">
            <v>0</v>
          </cell>
          <cell r="S17">
            <v>0</v>
          </cell>
          <cell r="T17">
            <v>1</v>
          </cell>
          <cell r="U17">
            <v>0</v>
          </cell>
          <cell r="V17">
            <v>0</v>
          </cell>
          <cell r="W17">
            <v>0</v>
          </cell>
          <cell r="X17">
            <v>1</v>
          </cell>
          <cell r="Y17">
            <v>1</v>
          </cell>
          <cell r="Z17">
            <v>0</v>
          </cell>
          <cell r="AA17">
            <v>0</v>
          </cell>
        </row>
        <row r="18">
          <cell r="A18">
            <v>17</v>
          </cell>
          <cell r="B18">
            <v>0</v>
          </cell>
          <cell r="C18">
            <v>0</v>
          </cell>
          <cell r="D18">
            <v>0</v>
          </cell>
          <cell r="E18">
            <v>0</v>
          </cell>
          <cell r="F18">
            <v>0</v>
          </cell>
          <cell r="G18">
            <v>0</v>
          </cell>
          <cell r="H18">
            <v>0</v>
          </cell>
          <cell r="I18">
            <v>0</v>
          </cell>
          <cell r="J18">
            <v>0</v>
          </cell>
          <cell r="K18">
            <v>0</v>
          </cell>
          <cell r="L18">
            <v>0</v>
          </cell>
          <cell r="M18">
            <v>1</v>
          </cell>
          <cell r="N18">
            <v>0</v>
          </cell>
          <cell r="O18">
            <v>0</v>
          </cell>
          <cell r="P18">
            <v>0</v>
          </cell>
          <cell r="Q18">
            <v>0</v>
          </cell>
          <cell r="R18">
            <v>0</v>
          </cell>
          <cell r="S18">
            <v>1</v>
          </cell>
          <cell r="T18">
            <v>1</v>
          </cell>
          <cell r="U18">
            <v>0</v>
          </cell>
          <cell r="V18">
            <v>0</v>
          </cell>
          <cell r="W18">
            <v>1</v>
          </cell>
          <cell r="X18">
            <v>2</v>
          </cell>
          <cell r="Y18">
            <v>1</v>
          </cell>
          <cell r="Z18">
            <v>0</v>
          </cell>
          <cell r="AA18">
            <v>0</v>
          </cell>
        </row>
        <row r="19">
          <cell r="A19">
            <v>18</v>
          </cell>
          <cell r="B19">
            <v>0</v>
          </cell>
          <cell r="C19">
            <v>0</v>
          </cell>
          <cell r="D19">
            <v>0</v>
          </cell>
          <cell r="E19">
            <v>0</v>
          </cell>
          <cell r="F19">
            <v>0</v>
          </cell>
          <cell r="G19">
            <v>1</v>
          </cell>
          <cell r="H19">
            <v>0</v>
          </cell>
          <cell r="I19">
            <v>0</v>
          </cell>
          <cell r="J19">
            <v>0</v>
          </cell>
          <cell r="K19">
            <v>0</v>
          </cell>
          <cell r="L19">
            <v>0</v>
          </cell>
          <cell r="M19">
            <v>0</v>
          </cell>
          <cell r="N19">
            <v>0</v>
          </cell>
          <cell r="O19">
            <v>0</v>
          </cell>
          <cell r="P19">
            <v>0</v>
          </cell>
          <cell r="Q19">
            <v>0</v>
          </cell>
          <cell r="R19">
            <v>1</v>
          </cell>
          <cell r="S19">
            <v>0</v>
          </cell>
          <cell r="T19">
            <v>0</v>
          </cell>
          <cell r="U19">
            <v>0</v>
          </cell>
          <cell r="V19">
            <v>0</v>
          </cell>
          <cell r="W19">
            <v>0</v>
          </cell>
          <cell r="X19">
            <v>1</v>
          </cell>
          <cell r="Y19">
            <v>1</v>
          </cell>
          <cell r="Z19">
            <v>0</v>
          </cell>
          <cell r="AA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1</v>
          </cell>
          <cell r="U20">
            <v>0</v>
          </cell>
          <cell r="V20">
            <v>0</v>
          </cell>
          <cell r="W20">
            <v>1</v>
          </cell>
          <cell r="X20">
            <v>1</v>
          </cell>
          <cell r="Y20">
            <v>1</v>
          </cell>
          <cell r="Z20">
            <v>0</v>
          </cell>
          <cell r="AA20">
            <v>0</v>
          </cell>
        </row>
        <row r="21">
          <cell r="A21">
            <v>20</v>
          </cell>
          <cell r="B21">
            <v>0</v>
          </cell>
          <cell r="C21">
            <v>0</v>
          </cell>
          <cell r="D21">
            <v>0</v>
          </cell>
          <cell r="E21">
            <v>0</v>
          </cell>
          <cell r="F21">
            <v>0</v>
          </cell>
          <cell r="G21">
            <v>1</v>
          </cell>
          <cell r="H21">
            <v>1</v>
          </cell>
          <cell r="I21">
            <v>0</v>
          </cell>
          <cell r="J21">
            <v>0</v>
          </cell>
          <cell r="K21">
            <v>0</v>
          </cell>
          <cell r="L21">
            <v>1</v>
          </cell>
          <cell r="M21">
            <v>1</v>
          </cell>
          <cell r="N21">
            <v>0</v>
          </cell>
          <cell r="O21">
            <v>0</v>
          </cell>
          <cell r="P21">
            <v>0</v>
          </cell>
          <cell r="Q21">
            <v>0</v>
          </cell>
          <cell r="R21">
            <v>0</v>
          </cell>
          <cell r="S21">
            <v>0</v>
          </cell>
          <cell r="T21">
            <v>0</v>
          </cell>
          <cell r="U21">
            <v>1</v>
          </cell>
          <cell r="V21">
            <v>0</v>
          </cell>
          <cell r="W21">
            <v>1</v>
          </cell>
          <cell r="X21">
            <v>1</v>
          </cell>
          <cell r="Y21">
            <v>1</v>
          </cell>
          <cell r="Z21">
            <v>0</v>
          </cell>
          <cell r="AA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1</v>
          </cell>
          <cell r="T22">
            <v>1</v>
          </cell>
          <cell r="U22">
            <v>0</v>
          </cell>
          <cell r="V22">
            <v>0</v>
          </cell>
          <cell r="W22">
            <v>1</v>
          </cell>
          <cell r="X22">
            <v>1</v>
          </cell>
          <cell r="Y22">
            <v>1</v>
          </cell>
          <cell r="Z22">
            <v>0</v>
          </cell>
          <cell r="AA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0</v>
          </cell>
          <cell r="R23">
            <v>1</v>
          </cell>
          <cell r="S23">
            <v>0</v>
          </cell>
          <cell r="T23">
            <v>0</v>
          </cell>
          <cell r="U23">
            <v>0</v>
          </cell>
          <cell r="V23">
            <v>0</v>
          </cell>
          <cell r="W23">
            <v>1</v>
          </cell>
          <cell r="X23">
            <v>1</v>
          </cell>
          <cell r="Y23">
            <v>1</v>
          </cell>
          <cell r="Z23">
            <v>0</v>
          </cell>
          <cell r="AA23">
            <v>0</v>
          </cell>
        </row>
        <row r="24">
          <cell r="A24">
            <v>23</v>
          </cell>
          <cell r="B24">
            <v>0</v>
          </cell>
          <cell r="C24">
            <v>0</v>
          </cell>
          <cell r="D24">
            <v>0</v>
          </cell>
          <cell r="E24">
            <v>0</v>
          </cell>
          <cell r="F24">
            <v>0</v>
          </cell>
          <cell r="G24">
            <v>1</v>
          </cell>
          <cell r="H24">
            <v>0</v>
          </cell>
          <cell r="I24">
            <v>0</v>
          </cell>
          <cell r="J24">
            <v>0</v>
          </cell>
          <cell r="K24">
            <v>0</v>
          </cell>
          <cell r="L24">
            <v>0</v>
          </cell>
          <cell r="M24">
            <v>0</v>
          </cell>
          <cell r="N24">
            <v>0</v>
          </cell>
          <cell r="O24">
            <v>0</v>
          </cell>
          <cell r="P24">
            <v>0</v>
          </cell>
          <cell r="Q24">
            <v>0</v>
          </cell>
          <cell r="R24">
            <v>1</v>
          </cell>
          <cell r="S24">
            <v>0</v>
          </cell>
          <cell r="T24">
            <v>1</v>
          </cell>
          <cell r="U24">
            <v>0</v>
          </cell>
          <cell r="V24">
            <v>0</v>
          </cell>
          <cell r="W24">
            <v>1</v>
          </cell>
          <cell r="X24">
            <v>2</v>
          </cell>
          <cell r="Y24">
            <v>1</v>
          </cell>
          <cell r="Z24">
            <v>0</v>
          </cell>
          <cell r="AA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1</v>
          </cell>
          <cell r="S25">
            <v>0</v>
          </cell>
          <cell r="T25">
            <v>1</v>
          </cell>
          <cell r="U25">
            <v>0</v>
          </cell>
          <cell r="V25">
            <v>0</v>
          </cell>
          <cell r="W25">
            <v>1</v>
          </cell>
          <cell r="X25">
            <v>1</v>
          </cell>
          <cell r="Y25">
            <v>1</v>
          </cell>
          <cell r="Z25">
            <v>0</v>
          </cell>
          <cell r="AA25">
            <v>0</v>
          </cell>
        </row>
        <row r="26">
          <cell r="A26">
            <v>25</v>
          </cell>
          <cell r="B26">
            <v>0</v>
          </cell>
          <cell r="C26">
            <v>0</v>
          </cell>
          <cell r="D26">
            <v>0</v>
          </cell>
          <cell r="E26">
            <v>0</v>
          </cell>
          <cell r="F26">
            <v>0</v>
          </cell>
          <cell r="G26">
            <v>0</v>
          </cell>
          <cell r="H26">
            <v>0</v>
          </cell>
          <cell r="I26">
            <v>0</v>
          </cell>
          <cell r="J26">
            <v>0</v>
          </cell>
          <cell r="K26">
            <v>0</v>
          </cell>
          <cell r="L26">
            <v>0</v>
          </cell>
          <cell r="M26">
            <v>1</v>
          </cell>
          <cell r="N26">
            <v>0</v>
          </cell>
          <cell r="O26">
            <v>0</v>
          </cell>
          <cell r="P26">
            <v>0</v>
          </cell>
          <cell r="Q26">
            <v>0</v>
          </cell>
          <cell r="R26">
            <v>0</v>
          </cell>
          <cell r="S26">
            <v>0</v>
          </cell>
          <cell r="T26">
            <v>1</v>
          </cell>
          <cell r="U26">
            <v>0</v>
          </cell>
          <cell r="V26">
            <v>0</v>
          </cell>
          <cell r="W26">
            <v>1</v>
          </cell>
          <cell r="X26">
            <v>0</v>
          </cell>
          <cell r="Y26">
            <v>1</v>
          </cell>
          <cell r="Z26">
            <v>0</v>
          </cell>
          <cell r="AA26">
            <v>0</v>
          </cell>
        </row>
        <row r="27">
          <cell r="A27">
            <v>26</v>
          </cell>
          <cell r="B27">
            <v>0</v>
          </cell>
          <cell r="C27">
            <v>0</v>
          </cell>
          <cell r="D27">
            <v>0</v>
          </cell>
          <cell r="E27">
            <v>0</v>
          </cell>
          <cell r="F27">
            <v>0</v>
          </cell>
          <cell r="G27">
            <v>0</v>
          </cell>
          <cell r="H27">
            <v>0</v>
          </cell>
          <cell r="I27">
            <v>0</v>
          </cell>
          <cell r="J27">
            <v>0</v>
          </cell>
          <cell r="K27">
            <v>0</v>
          </cell>
          <cell r="L27">
            <v>0</v>
          </cell>
          <cell r="M27">
            <v>1</v>
          </cell>
          <cell r="N27">
            <v>0</v>
          </cell>
          <cell r="O27">
            <v>0</v>
          </cell>
          <cell r="P27">
            <v>0</v>
          </cell>
          <cell r="Q27">
            <v>0</v>
          </cell>
          <cell r="R27">
            <v>0</v>
          </cell>
          <cell r="S27">
            <v>0</v>
          </cell>
          <cell r="T27">
            <v>1</v>
          </cell>
          <cell r="U27">
            <v>0</v>
          </cell>
          <cell r="V27">
            <v>0</v>
          </cell>
          <cell r="W27">
            <v>1</v>
          </cell>
          <cell r="X27">
            <v>1</v>
          </cell>
          <cell r="Y27">
            <v>1</v>
          </cell>
          <cell r="Z27">
            <v>0</v>
          </cell>
          <cell r="AA27">
            <v>0</v>
          </cell>
        </row>
        <row r="28">
          <cell r="A28">
            <v>27</v>
          </cell>
          <cell r="B28">
            <v>0</v>
          </cell>
          <cell r="C28">
            <v>0</v>
          </cell>
          <cell r="D28">
            <v>0</v>
          </cell>
          <cell r="E28">
            <v>0</v>
          </cell>
          <cell r="F28">
            <v>0</v>
          </cell>
          <cell r="G28">
            <v>0</v>
          </cell>
          <cell r="H28">
            <v>0</v>
          </cell>
          <cell r="I28">
            <v>0</v>
          </cell>
          <cell r="J28">
            <v>0</v>
          </cell>
          <cell r="K28">
            <v>0</v>
          </cell>
          <cell r="L28">
            <v>0</v>
          </cell>
          <cell r="M28">
            <v>1</v>
          </cell>
          <cell r="N28">
            <v>0</v>
          </cell>
          <cell r="O28">
            <v>0</v>
          </cell>
          <cell r="P28">
            <v>0</v>
          </cell>
          <cell r="Q28">
            <v>0</v>
          </cell>
          <cell r="R28">
            <v>0</v>
          </cell>
          <cell r="S28">
            <v>0</v>
          </cell>
          <cell r="T28">
            <v>0</v>
          </cell>
          <cell r="U28">
            <v>0</v>
          </cell>
          <cell r="V28">
            <v>0</v>
          </cell>
          <cell r="W28">
            <v>0</v>
          </cell>
          <cell r="X28">
            <v>1</v>
          </cell>
          <cell r="Y28">
            <v>1</v>
          </cell>
          <cell r="Z28">
            <v>0</v>
          </cell>
          <cell r="AA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1</v>
          </cell>
          <cell r="U29">
            <v>0</v>
          </cell>
          <cell r="V29">
            <v>0</v>
          </cell>
          <cell r="W29">
            <v>0</v>
          </cell>
          <cell r="X29">
            <v>1</v>
          </cell>
          <cell r="Y29">
            <v>0</v>
          </cell>
          <cell r="Z29">
            <v>0</v>
          </cell>
          <cell r="AA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Unnamed: 0</v>
          </cell>
          <cell r="C1" t="str">
            <v>AH</v>
          </cell>
          <cell r="D1" t="str">
            <v>AMA</v>
          </cell>
          <cell r="E1" t="str">
            <v>DEM</v>
          </cell>
          <cell r="F1" t="str">
            <v>EVO</v>
          </cell>
          <cell r="G1" t="str">
            <v>FA</v>
          </cell>
          <cell r="H1" t="str">
            <v>FREVS</v>
          </cell>
          <cell r="I1" t="str">
            <v>IGU</v>
          </cell>
          <cell r="J1" t="str">
            <v>IND</v>
          </cell>
          <cell r="K1" t="str">
            <v>PAVP</v>
          </cell>
          <cell r="L1" t="str">
            <v>PCCH</v>
          </cell>
          <cell r="M1" t="str">
            <v>PDC</v>
          </cell>
          <cell r="N1" t="str">
            <v>PDG</v>
          </cell>
          <cell r="O1" t="str">
            <v>PH</v>
          </cell>
          <cell r="P1" t="str">
            <v>PL</v>
          </cell>
          <cell r="Q1" t="str">
            <v>POP</v>
          </cell>
          <cell r="R1" t="str">
            <v>PPD</v>
          </cell>
          <cell r="S1" t="str">
            <v>PR</v>
          </cell>
          <cell r="T1" t="str">
            <v>PS</v>
          </cell>
          <cell r="U1" t="str">
            <v>PSC</v>
          </cell>
          <cell r="V1" t="str">
            <v>PTR</v>
          </cell>
          <cell r="W1" t="str">
            <v>REP</v>
          </cell>
          <cell r="X1" t="str">
            <v>RN</v>
          </cell>
          <cell r="Y1" t="str">
            <v>UDI</v>
          </cell>
          <cell r="Z1" t="str">
            <v>Votos Blancos</v>
          </cell>
          <cell r="AA1" t="str">
            <v>Votos Nulos</v>
          </cell>
        </row>
        <row r="2">
          <cell r="A2">
            <v>1</v>
          </cell>
          <cell r="B2">
            <v>0</v>
          </cell>
          <cell r="C2">
            <v>0</v>
          </cell>
          <cell r="D2">
            <v>0</v>
          </cell>
          <cell r="E2">
            <v>0</v>
          </cell>
          <cell r="F2">
            <v>0</v>
          </cell>
          <cell r="G2">
            <v>0</v>
          </cell>
          <cell r="H2">
            <v>0</v>
          </cell>
          <cell r="I2">
            <v>0</v>
          </cell>
          <cell r="J2">
            <v>0</v>
          </cell>
          <cell r="K2">
            <v>0</v>
          </cell>
          <cell r="L2">
            <v>1</v>
          </cell>
          <cell r="M2">
            <v>0</v>
          </cell>
          <cell r="N2">
            <v>0</v>
          </cell>
          <cell r="O2">
            <v>0</v>
          </cell>
          <cell r="P2">
            <v>0</v>
          </cell>
          <cell r="Q2">
            <v>0</v>
          </cell>
          <cell r="R2">
            <v>0</v>
          </cell>
          <cell r="S2">
            <v>0</v>
          </cell>
          <cell r="T2">
            <v>1</v>
          </cell>
          <cell r="U2">
            <v>0</v>
          </cell>
          <cell r="V2">
            <v>0</v>
          </cell>
          <cell r="W2">
            <v>1</v>
          </cell>
          <cell r="X2">
            <v>0</v>
          </cell>
          <cell r="Y2">
            <v>0</v>
          </cell>
          <cell r="Z2">
            <v>0</v>
          </cell>
          <cell r="AA2">
            <v>0</v>
          </cell>
        </row>
        <row r="3">
          <cell r="A3">
            <v>2</v>
          </cell>
          <cell r="B3">
            <v>0</v>
          </cell>
          <cell r="C3">
            <v>0</v>
          </cell>
          <cell r="D3">
            <v>0</v>
          </cell>
          <cell r="E3">
            <v>0</v>
          </cell>
          <cell r="F3">
            <v>0</v>
          </cell>
          <cell r="G3">
            <v>0</v>
          </cell>
          <cell r="H3">
            <v>0</v>
          </cell>
          <cell r="I3">
            <v>0</v>
          </cell>
          <cell r="J3">
            <v>0</v>
          </cell>
          <cell r="K3">
            <v>0</v>
          </cell>
          <cell r="L3">
            <v>0</v>
          </cell>
          <cell r="M3">
            <v>1</v>
          </cell>
          <cell r="N3">
            <v>0</v>
          </cell>
          <cell r="O3">
            <v>0</v>
          </cell>
          <cell r="P3">
            <v>0</v>
          </cell>
          <cell r="Q3">
            <v>0</v>
          </cell>
          <cell r="R3">
            <v>0</v>
          </cell>
          <cell r="S3">
            <v>0</v>
          </cell>
          <cell r="T3">
            <v>0</v>
          </cell>
          <cell r="U3">
            <v>0</v>
          </cell>
          <cell r="V3">
            <v>0</v>
          </cell>
          <cell r="W3">
            <v>1</v>
          </cell>
          <cell r="X3">
            <v>1</v>
          </cell>
          <cell r="Y3">
            <v>0</v>
          </cell>
          <cell r="Z3">
            <v>0</v>
          </cell>
          <cell r="AA3">
            <v>0</v>
          </cell>
        </row>
        <row r="4">
          <cell r="A4">
            <v>3</v>
          </cell>
          <cell r="B4">
            <v>0</v>
          </cell>
          <cell r="C4">
            <v>0</v>
          </cell>
          <cell r="D4">
            <v>0</v>
          </cell>
          <cell r="E4">
            <v>0</v>
          </cell>
          <cell r="F4">
            <v>0</v>
          </cell>
          <cell r="G4">
            <v>0</v>
          </cell>
          <cell r="H4">
            <v>1</v>
          </cell>
          <cell r="I4">
            <v>0</v>
          </cell>
          <cell r="J4">
            <v>0</v>
          </cell>
          <cell r="K4">
            <v>0</v>
          </cell>
          <cell r="L4">
            <v>1</v>
          </cell>
          <cell r="M4">
            <v>1</v>
          </cell>
          <cell r="N4">
            <v>0</v>
          </cell>
          <cell r="O4">
            <v>0</v>
          </cell>
          <cell r="P4">
            <v>0</v>
          </cell>
          <cell r="Q4">
            <v>0</v>
          </cell>
          <cell r="R4">
            <v>0</v>
          </cell>
          <cell r="S4">
            <v>0</v>
          </cell>
          <cell r="T4">
            <v>0</v>
          </cell>
          <cell r="U4">
            <v>0</v>
          </cell>
          <cell r="V4">
            <v>0</v>
          </cell>
          <cell r="W4">
            <v>1</v>
          </cell>
          <cell r="X4">
            <v>0</v>
          </cell>
          <cell r="Y4">
            <v>1</v>
          </cell>
          <cell r="Z4">
            <v>0</v>
          </cell>
          <cell r="AA4">
            <v>0</v>
          </cell>
        </row>
        <row r="5">
          <cell r="A5">
            <v>4</v>
          </cell>
          <cell r="B5">
            <v>0</v>
          </cell>
          <cell r="C5">
            <v>0</v>
          </cell>
          <cell r="D5">
            <v>0</v>
          </cell>
          <cell r="E5">
            <v>0</v>
          </cell>
          <cell r="F5">
            <v>0</v>
          </cell>
          <cell r="G5">
            <v>0</v>
          </cell>
          <cell r="H5">
            <v>1</v>
          </cell>
          <cell r="I5">
            <v>0</v>
          </cell>
          <cell r="J5">
            <v>0</v>
          </cell>
          <cell r="K5">
            <v>0</v>
          </cell>
          <cell r="L5">
            <v>1</v>
          </cell>
          <cell r="M5">
            <v>0</v>
          </cell>
          <cell r="N5">
            <v>0</v>
          </cell>
          <cell r="O5">
            <v>0</v>
          </cell>
          <cell r="P5">
            <v>0</v>
          </cell>
          <cell r="Q5">
            <v>0</v>
          </cell>
          <cell r="R5">
            <v>0</v>
          </cell>
          <cell r="S5">
            <v>0</v>
          </cell>
          <cell r="T5">
            <v>1</v>
          </cell>
          <cell r="U5">
            <v>0</v>
          </cell>
          <cell r="V5">
            <v>0</v>
          </cell>
          <cell r="W5">
            <v>1</v>
          </cell>
          <cell r="X5">
            <v>1</v>
          </cell>
          <cell r="Y5">
            <v>0</v>
          </cell>
          <cell r="Z5">
            <v>0</v>
          </cell>
          <cell r="AA5">
            <v>0</v>
          </cell>
        </row>
        <row r="6">
          <cell r="A6">
            <v>5</v>
          </cell>
          <cell r="B6">
            <v>0</v>
          </cell>
          <cell r="C6">
            <v>0</v>
          </cell>
          <cell r="D6">
            <v>0</v>
          </cell>
          <cell r="E6">
            <v>0</v>
          </cell>
          <cell r="F6">
            <v>0</v>
          </cell>
          <cell r="G6">
            <v>1</v>
          </cell>
          <cell r="H6">
            <v>0</v>
          </cell>
          <cell r="I6">
            <v>0</v>
          </cell>
          <cell r="J6">
            <v>0</v>
          </cell>
          <cell r="K6">
            <v>0</v>
          </cell>
          <cell r="L6">
            <v>1</v>
          </cell>
          <cell r="M6">
            <v>1</v>
          </cell>
          <cell r="N6">
            <v>0</v>
          </cell>
          <cell r="O6">
            <v>0</v>
          </cell>
          <cell r="P6">
            <v>0</v>
          </cell>
          <cell r="Q6">
            <v>0</v>
          </cell>
          <cell r="R6">
            <v>0</v>
          </cell>
          <cell r="S6">
            <v>0</v>
          </cell>
          <cell r="T6">
            <v>1</v>
          </cell>
          <cell r="U6">
            <v>0</v>
          </cell>
          <cell r="V6">
            <v>0</v>
          </cell>
          <cell r="W6">
            <v>1</v>
          </cell>
          <cell r="X6">
            <v>1</v>
          </cell>
          <cell r="Y6">
            <v>1</v>
          </cell>
          <cell r="Z6">
            <v>0</v>
          </cell>
          <cell r="AA6">
            <v>0</v>
          </cell>
        </row>
        <row r="7">
          <cell r="A7">
            <v>6</v>
          </cell>
          <cell r="B7">
            <v>0</v>
          </cell>
          <cell r="C7">
            <v>0</v>
          </cell>
          <cell r="D7">
            <v>0</v>
          </cell>
          <cell r="E7">
            <v>0</v>
          </cell>
          <cell r="F7">
            <v>0</v>
          </cell>
          <cell r="G7">
            <v>0</v>
          </cell>
          <cell r="H7">
            <v>0</v>
          </cell>
          <cell r="I7">
            <v>0</v>
          </cell>
          <cell r="J7">
            <v>0</v>
          </cell>
          <cell r="K7">
            <v>0</v>
          </cell>
          <cell r="L7">
            <v>1</v>
          </cell>
          <cell r="M7">
            <v>1</v>
          </cell>
          <cell r="N7">
            <v>0</v>
          </cell>
          <cell r="O7">
            <v>0</v>
          </cell>
          <cell r="P7">
            <v>0</v>
          </cell>
          <cell r="Q7">
            <v>0</v>
          </cell>
          <cell r="R7">
            <v>0</v>
          </cell>
          <cell r="S7">
            <v>0</v>
          </cell>
          <cell r="T7">
            <v>1</v>
          </cell>
          <cell r="U7">
            <v>0</v>
          </cell>
          <cell r="V7">
            <v>0</v>
          </cell>
          <cell r="W7">
            <v>2</v>
          </cell>
          <cell r="X7">
            <v>2</v>
          </cell>
          <cell r="Y7">
            <v>1</v>
          </cell>
          <cell r="Z7">
            <v>0</v>
          </cell>
          <cell r="AA7">
            <v>0</v>
          </cell>
        </row>
        <row r="8">
          <cell r="A8">
            <v>7</v>
          </cell>
          <cell r="B8">
            <v>0</v>
          </cell>
          <cell r="C8">
            <v>0</v>
          </cell>
          <cell r="D8">
            <v>0</v>
          </cell>
          <cell r="E8">
            <v>0</v>
          </cell>
          <cell r="F8">
            <v>0</v>
          </cell>
          <cell r="G8">
            <v>1</v>
          </cell>
          <cell r="H8">
            <v>0</v>
          </cell>
          <cell r="I8">
            <v>0</v>
          </cell>
          <cell r="J8">
            <v>0</v>
          </cell>
          <cell r="K8">
            <v>0</v>
          </cell>
          <cell r="L8">
            <v>1</v>
          </cell>
          <cell r="M8">
            <v>1</v>
          </cell>
          <cell r="N8">
            <v>0</v>
          </cell>
          <cell r="O8">
            <v>0</v>
          </cell>
          <cell r="P8">
            <v>0</v>
          </cell>
          <cell r="Q8">
            <v>0</v>
          </cell>
          <cell r="R8">
            <v>0</v>
          </cell>
          <cell r="S8">
            <v>0</v>
          </cell>
          <cell r="T8">
            <v>1</v>
          </cell>
          <cell r="U8">
            <v>0</v>
          </cell>
          <cell r="V8">
            <v>0</v>
          </cell>
          <cell r="W8">
            <v>2</v>
          </cell>
          <cell r="X8">
            <v>1</v>
          </cell>
          <cell r="Y8">
            <v>1</v>
          </cell>
          <cell r="Z8">
            <v>0</v>
          </cell>
          <cell r="AA8">
            <v>0</v>
          </cell>
        </row>
        <row r="9">
          <cell r="A9">
            <v>8</v>
          </cell>
          <cell r="B9">
            <v>0</v>
          </cell>
          <cell r="C9">
            <v>0</v>
          </cell>
          <cell r="D9">
            <v>0</v>
          </cell>
          <cell r="E9">
            <v>0</v>
          </cell>
          <cell r="F9">
            <v>0</v>
          </cell>
          <cell r="G9">
            <v>2</v>
          </cell>
          <cell r="H9">
            <v>0</v>
          </cell>
          <cell r="I9">
            <v>0</v>
          </cell>
          <cell r="J9">
            <v>0</v>
          </cell>
          <cell r="K9">
            <v>0</v>
          </cell>
          <cell r="L9">
            <v>1</v>
          </cell>
          <cell r="M9">
            <v>1</v>
          </cell>
          <cell r="N9">
            <v>0</v>
          </cell>
          <cell r="O9">
            <v>0</v>
          </cell>
          <cell r="P9">
            <v>0</v>
          </cell>
          <cell r="Q9">
            <v>0</v>
          </cell>
          <cell r="R9">
            <v>0</v>
          </cell>
          <cell r="S9">
            <v>0</v>
          </cell>
          <cell r="T9">
            <v>0</v>
          </cell>
          <cell r="U9">
            <v>0</v>
          </cell>
          <cell r="V9">
            <v>0</v>
          </cell>
          <cell r="W9">
            <v>2</v>
          </cell>
          <cell r="X9">
            <v>1</v>
          </cell>
          <cell r="Y9">
            <v>1</v>
          </cell>
          <cell r="Z9">
            <v>0</v>
          </cell>
          <cell r="AA9">
            <v>0</v>
          </cell>
        </row>
        <row r="10">
          <cell r="A10">
            <v>9</v>
          </cell>
          <cell r="B10">
            <v>0</v>
          </cell>
          <cell r="C10">
            <v>0</v>
          </cell>
          <cell r="D10">
            <v>0</v>
          </cell>
          <cell r="E10">
            <v>0</v>
          </cell>
          <cell r="F10">
            <v>0</v>
          </cell>
          <cell r="G10">
            <v>1</v>
          </cell>
          <cell r="H10">
            <v>0</v>
          </cell>
          <cell r="I10">
            <v>0</v>
          </cell>
          <cell r="J10">
            <v>0</v>
          </cell>
          <cell r="K10">
            <v>0</v>
          </cell>
          <cell r="L10">
            <v>1</v>
          </cell>
          <cell r="M10">
            <v>0</v>
          </cell>
          <cell r="N10">
            <v>0</v>
          </cell>
          <cell r="O10">
            <v>0</v>
          </cell>
          <cell r="P10">
            <v>0</v>
          </cell>
          <cell r="Q10">
            <v>0</v>
          </cell>
          <cell r="R10">
            <v>1</v>
          </cell>
          <cell r="S10">
            <v>0</v>
          </cell>
          <cell r="T10">
            <v>1</v>
          </cell>
          <cell r="U10">
            <v>0</v>
          </cell>
          <cell r="V10">
            <v>0</v>
          </cell>
          <cell r="W10">
            <v>1</v>
          </cell>
          <cell r="X10">
            <v>1</v>
          </cell>
          <cell r="Y10">
            <v>1</v>
          </cell>
          <cell r="Z10">
            <v>0</v>
          </cell>
          <cell r="AA10">
            <v>0</v>
          </cell>
        </row>
        <row r="11">
          <cell r="A11">
            <v>10</v>
          </cell>
          <cell r="B11">
            <v>0</v>
          </cell>
          <cell r="C11">
            <v>0</v>
          </cell>
          <cell r="D11">
            <v>0</v>
          </cell>
          <cell r="E11">
            <v>0</v>
          </cell>
          <cell r="F11">
            <v>0</v>
          </cell>
          <cell r="G11">
            <v>2</v>
          </cell>
          <cell r="H11">
            <v>0</v>
          </cell>
          <cell r="I11">
            <v>0</v>
          </cell>
          <cell r="J11">
            <v>0</v>
          </cell>
          <cell r="K11">
            <v>0</v>
          </cell>
          <cell r="L11">
            <v>1</v>
          </cell>
          <cell r="M11">
            <v>0</v>
          </cell>
          <cell r="N11">
            <v>0</v>
          </cell>
          <cell r="O11">
            <v>0</v>
          </cell>
          <cell r="P11">
            <v>0</v>
          </cell>
          <cell r="Q11">
            <v>0</v>
          </cell>
          <cell r="R11">
            <v>0</v>
          </cell>
          <cell r="S11">
            <v>0</v>
          </cell>
          <cell r="T11">
            <v>1</v>
          </cell>
          <cell r="U11">
            <v>0</v>
          </cell>
          <cell r="V11">
            <v>0</v>
          </cell>
          <cell r="W11">
            <v>2</v>
          </cell>
          <cell r="X11">
            <v>1</v>
          </cell>
          <cell r="Y11">
            <v>1</v>
          </cell>
          <cell r="Z11">
            <v>0</v>
          </cell>
          <cell r="AA11">
            <v>0</v>
          </cell>
        </row>
        <row r="12">
          <cell r="A12">
            <v>11</v>
          </cell>
          <cell r="B12">
            <v>0</v>
          </cell>
          <cell r="C12">
            <v>0</v>
          </cell>
          <cell r="D12">
            <v>0</v>
          </cell>
          <cell r="E12">
            <v>0</v>
          </cell>
          <cell r="F12">
            <v>1</v>
          </cell>
          <cell r="G12">
            <v>1</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2</v>
          </cell>
          <cell r="X12">
            <v>1</v>
          </cell>
          <cell r="Y12">
            <v>1</v>
          </cell>
          <cell r="Z12">
            <v>0</v>
          </cell>
          <cell r="AA12">
            <v>0</v>
          </cell>
        </row>
        <row r="13">
          <cell r="A13">
            <v>12</v>
          </cell>
          <cell r="B13">
            <v>0</v>
          </cell>
          <cell r="C13">
            <v>0</v>
          </cell>
          <cell r="D13">
            <v>0</v>
          </cell>
          <cell r="E13">
            <v>0</v>
          </cell>
          <cell r="F13">
            <v>0</v>
          </cell>
          <cell r="G13">
            <v>1</v>
          </cell>
          <cell r="H13">
            <v>0</v>
          </cell>
          <cell r="I13">
            <v>0</v>
          </cell>
          <cell r="J13">
            <v>0</v>
          </cell>
          <cell r="K13">
            <v>0</v>
          </cell>
          <cell r="L13">
            <v>2</v>
          </cell>
          <cell r="M13">
            <v>0</v>
          </cell>
          <cell r="N13">
            <v>0</v>
          </cell>
          <cell r="O13">
            <v>0</v>
          </cell>
          <cell r="P13">
            <v>0</v>
          </cell>
          <cell r="Q13">
            <v>0</v>
          </cell>
          <cell r="R13">
            <v>0</v>
          </cell>
          <cell r="S13">
            <v>0</v>
          </cell>
          <cell r="T13">
            <v>1</v>
          </cell>
          <cell r="U13">
            <v>0</v>
          </cell>
          <cell r="V13">
            <v>0</v>
          </cell>
          <cell r="W13">
            <v>1</v>
          </cell>
          <cell r="X13">
            <v>1</v>
          </cell>
          <cell r="Y13">
            <v>1</v>
          </cell>
          <cell r="Z13">
            <v>0</v>
          </cell>
          <cell r="AA13">
            <v>0</v>
          </cell>
        </row>
        <row r="14">
          <cell r="A14">
            <v>13</v>
          </cell>
          <cell r="B14">
            <v>0</v>
          </cell>
          <cell r="C14">
            <v>0</v>
          </cell>
          <cell r="D14">
            <v>0</v>
          </cell>
          <cell r="E14">
            <v>0</v>
          </cell>
          <cell r="F14">
            <v>0</v>
          </cell>
          <cell r="G14">
            <v>1</v>
          </cell>
          <cell r="H14">
            <v>0</v>
          </cell>
          <cell r="I14">
            <v>0</v>
          </cell>
          <cell r="J14">
            <v>0</v>
          </cell>
          <cell r="K14">
            <v>0</v>
          </cell>
          <cell r="L14">
            <v>1</v>
          </cell>
          <cell r="M14">
            <v>0</v>
          </cell>
          <cell r="N14">
            <v>0</v>
          </cell>
          <cell r="O14">
            <v>0</v>
          </cell>
          <cell r="P14">
            <v>0</v>
          </cell>
          <cell r="Q14">
            <v>0</v>
          </cell>
          <cell r="R14">
            <v>0</v>
          </cell>
          <cell r="S14">
            <v>0</v>
          </cell>
          <cell r="T14">
            <v>1</v>
          </cell>
          <cell r="U14">
            <v>0</v>
          </cell>
          <cell r="V14">
            <v>0</v>
          </cell>
          <cell r="W14">
            <v>1</v>
          </cell>
          <cell r="X14">
            <v>1</v>
          </cell>
          <cell r="Y14">
            <v>0</v>
          </cell>
          <cell r="Z14">
            <v>0</v>
          </cell>
          <cell r="AA14">
            <v>0</v>
          </cell>
        </row>
        <row r="15">
          <cell r="A15">
            <v>14</v>
          </cell>
          <cell r="B15">
            <v>0</v>
          </cell>
          <cell r="C15">
            <v>0</v>
          </cell>
          <cell r="D15">
            <v>0</v>
          </cell>
          <cell r="E15">
            <v>0</v>
          </cell>
          <cell r="F15">
            <v>0</v>
          </cell>
          <cell r="G15">
            <v>1</v>
          </cell>
          <cell r="H15">
            <v>0</v>
          </cell>
          <cell r="I15">
            <v>0</v>
          </cell>
          <cell r="J15">
            <v>0</v>
          </cell>
          <cell r="K15">
            <v>0</v>
          </cell>
          <cell r="L15">
            <v>0</v>
          </cell>
          <cell r="M15">
            <v>0</v>
          </cell>
          <cell r="N15">
            <v>0</v>
          </cell>
          <cell r="O15">
            <v>0</v>
          </cell>
          <cell r="P15">
            <v>0</v>
          </cell>
          <cell r="Q15">
            <v>0</v>
          </cell>
          <cell r="R15">
            <v>0</v>
          </cell>
          <cell r="S15">
            <v>0</v>
          </cell>
          <cell r="T15">
            <v>2</v>
          </cell>
          <cell r="U15">
            <v>0</v>
          </cell>
          <cell r="V15">
            <v>0</v>
          </cell>
          <cell r="W15">
            <v>1</v>
          </cell>
          <cell r="X15">
            <v>0</v>
          </cell>
          <cell r="Y15">
            <v>2</v>
          </cell>
          <cell r="Z15">
            <v>0</v>
          </cell>
          <cell r="AA15">
            <v>0</v>
          </cell>
        </row>
        <row r="16">
          <cell r="A16">
            <v>15</v>
          </cell>
          <cell r="B16">
            <v>0</v>
          </cell>
          <cell r="C16">
            <v>0</v>
          </cell>
          <cell r="D16">
            <v>0</v>
          </cell>
          <cell r="E16">
            <v>0</v>
          </cell>
          <cell r="F16">
            <v>0</v>
          </cell>
          <cell r="G16">
            <v>1</v>
          </cell>
          <cell r="H16">
            <v>0</v>
          </cell>
          <cell r="I16">
            <v>0</v>
          </cell>
          <cell r="J16">
            <v>0</v>
          </cell>
          <cell r="K16">
            <v>0</v>
          </cell>
          <cell r="L16">
            <v>0</v>
          </cell>
          <cell r="M16">
            <v>0</v>
          </cell>
          <cell r="N16">
            <v>0</v>
          </cell>
          <cell r="O16">
            <v>0</v>
          </cell>
          <cell r="P16">
            <v>0</v>
          </cell>
          <cell r="Q16">
            <v>0</v>
          </cell>
          <cell r="R16">
            <v>0</v>
          </cell>
          <cell r="S16">
            <v>0</v>
          </cell>
          <cell r="T16">
            <v>1</v>
          </cell>
          <cell r="U16">
            <v>0</v>
          </cell>
          <cell r="V16">
            <v>0</v>
          </cell>
          <cell r="W16">
            <v>1</v>
          </cell>
          <cell r="X16">
            <v>1</v>
          </cell>
          <cell r="Y16">
            <v>1</v>
          </cell>
          <cell r="Z16">
            <v>0</v>
          </cell>
          <cell r="AA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1</v>
          </cell>
          <cell r="U17">
            <v>0</v>
          </cell>
          <cell r="V17">
            <v>0</v>
          </cell>
          <cell r="W17">
            <v>1</v>
          </cell>
          <cell r="X17">
            <v>1</v>
          </cell>
          <cell r="Y17">
            <v>1</v>
          </cell>
          <cell r="Z17">
            <v>0</v>
          </cell>
          <cell r="AA17">
            <v>0</v>
          </cell>
        </row>
        <row r="18">
          <cell r="A18">
            <v>17</v>
          </cell>
          <cell r="B18">
            <v>0</v>
          </cell>
          <cell r="C18">
            <v>0</v>
          </cell>
          <cell r="D18">
            <v>0</v>
          </cell>
          <cell r="E18">
            <v>0</v>
          </cell>
          <cell r="F18">
            <v>0</v>
          </cell>
          <cell r="G18">
            <v>1</v>
          </cell>
          <cell r="H18">
            <v>0</v>
          </cell>
          <cell r="I18">
            <v>0</v>
          </cell>
          <cell r="J18">
            <v>0</v>
          </cell>
          <cell r="K18">
            <v>0</v>
          </cell>
          <cell r="L18">
            <v>0</v>
          </cell>
          <cell r="M18">
            <v>1</v>
          </cell>
          <cell r="N18">
            <v>0</v>
          </cell>
          <cell r="O18">
            <v>0</v>
          </cell>
          <cell r="P18">
            <v>0</v>
          </cell>
          <cell r="Q18">
            <v>0</v>
          </cell>
          <cell r="R18">
            <v>0</v>
          </cell>
          <cell r="S18">
            <v>1</v>
          </cell>
          <cell r="T18">
            <v>0</v>
          </cell>
          <cell r="U18">
            <v>0</v>
          </cell>
          <cell r="V18">
            <v>0</v>
          </cell>
          <cell r="W18">
            <v>1</v>
          </cell>
          <cell r="X18">
            <v>1</v>
          </cell>
          <cell r="Y18">
            <v>2</v>
          </cell>
          <cell r="Z18">
            <v>0</v>
          </cell>
          <cell r="AA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1</v>
          </cell>
          <cell r="S19">
            <v>0</v>
          </cell>
          <cell r="T19">
            <v>0</v>
          </cell>
          <cell r="U19">
            <v>0</v>
          </cell>
          <cell r="V19">
            <v>0</v>
          </cell>
          <cell r="W19">
            <v>1</v>
          </cell>
          <cell r="X19">
            <v>1</v>
          </cell>
          <cell r="Y19">
            <v>1</v>
          </cell>
          <cell r="Z19">
            <v>0</v>
          </cell>
          <cell r="AA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1</v>
          </cell>
          <cell r="U20">
            <v>0</v>
          </cell>
          <cell r="V20">
            <v>0</v>
          </cell>
          <cell r="W20">
            <v>1</v>
          </cell>
          <cell r="X20">
            <v>1</v>
          </cell>
          <cell r="Y20">
            <v>2</v>
          </cell>
          <cell r="Z20">
            <v>0</v>
          </cell>
          <cell r="AA20">
            <v>0</v>
          </cell>
        </row>
        <row r="21">
          <cell r="A21">
            <v>20</v>
          </cell>
          <cell r="B21">
            <v>0</v>
          </cell>
          <cell r="C21">
            <v>0</v>
          </cell>
          <cell r="D21">
            <v>0</v>
          </cell>
          <cell r="E21">
            <v>0</v>
          </cell>
          <cell r="F21">
            <v>0</v>
          </cell>
          <cell r="G21">
            <v>0</v>
          </cell>
          <cell r="H21">
            <v>1</v>
          </cell>
          <cell r="I21">
            <v>0</v>
          </cell>
          <cell r="J21">
            <v>0</v>
          </cell>
          <cell r="K21">
            <v>0</v>
          </cell>
          <cell r="L21">
            <v>1</v>
          </cell>
          <cell r="M21">
            <v>1</v>
          </cell>
          <cell r="N21">
            <v>0</v>
          </cell>
          <cell r="O21">
            <v>0</v>
          </cell>
          <cell r="P21">
            <v>0</v>
          </cell>
          <cell r="Q21">
            <v>0</v>
          </cell>
          <cell r="R21">
            <v>0</v>
          </cell>
          <cell r="S21">
            <v>0</v>
          </cell>
          <cell r="T21">
            <v>1</v>
          </cell>
          <cell r="U21">
            <v>1</v>
          </cell>
          <cell r="V21">
            <v>0</v>
          </cell>
          <cell r="W21">
            <v>2</v>
          </cell>
          <cell r="X21">
            <v>0</v>
          </cell>
          <cell r="Y21">
            <v>1</v>
          </cell>
          <cell r="Z21">
            <v>0</v>
          </cell>
          <cell r="AA21">
            <v>0</v>
          </cell>
        </row>
        <row r="22">
          <cell r="A22">
            <v>21</v>
          </cell>
          <cell r="B22">
            <v>0</v>
          </cell>
          <cell r="C22">
            <v>0</v>
          </cell>
          <cell r="D22">
            <v>0</v>
          </cell>
          <cell r="E22">
            <v>0</v>
          </cell>
          <cell r="F22">
            <v>0</v>
          </cell>
          <cell r="G22">
            <v>0</v>
          </cell>
          <cell r="H22">
            <v>0</v>
          </cell>
          <cell r="I22">
            <v>0</v>
          </cell>
          <cell r="J22">
            <v>0</v>
          </cell>
          <cell r="K22">
            <v>0</v>
          </cell>
          <cell r="L22">
            <v>1</v>
          </cell>
          <cell r="M22">
            <v>1</v>
          </cell>
          <cell r="N22">
            <v>0</v>
          </cell>
          <cell r="O22">
            <v>0</v>
          </cell>
          <cell r="P22">
            <v>0</v>
          </cell>
          <cell r="Q22">
            <v>0</v>
          </cell>
          <cell r="R22">
            <v>0</v>
          </cell>
          <cell r="S22">
            <v>0</v>
          </cell>
          <cell r="T22">
            <v>0</v>
          </cell>
          <cell r="U22">
            <v>0</v>
          </cell>
          <cell r="V22">
            <v>0</v>
          </cell>
          <cell r="W22">
            <v>1</v>
          </cell>
          <cell r="X22">
            <v>1</v>
          </cell>
          <cell r="Y22">
            <v>1</v>
          </cell>
          <cell r="Z22">
            <v>0</v>
          </cell>
          <cell r="AA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0</v>
          </cell>
          <cell r="R23">
            <v>1</v>
          </cell>
          <cell r="S23">
            <v>0</v>
          </cell>
          <cell r="T23">
            <v>0</v>
          </cell>
          <cell r="U23">
            <v>0</v>
          </cell>
          <cell r="V23">
            <v>0</v>
          </cell>
          <cell r="W23">
            <v>1</v>
          </cell>
          <cell r="X23">
            <v>1</v>
          </cell>
          <cell r="Y23">
            <v>1</v>
          </cell>
          <cell r="Z23">
            <v>0</v>
          </cell>
          <cell r="AA23">
            <v>0</v>
          </cell>
        </row>
        <row r="24">
          <cell r="A24">
            <v>23</v>
          </cell>
          <cell r="B24">
            <v>0</v>
          </cell>
          <cell r="C24">
            <v>0</v>
          </cell>
          <cell r="D24">
            <v>0</v>
          </cell>
          <cell r="E24">
            <v>0</v>
          </cell>
          <cell r="F24">
            <v>0</v>
          </cell>
          <cell r="G24">
            <v>1</v>
          </cell>
          <cell r="H24">
            <v>0</v>
          </cell>
          <cell r="I24">
            <v>0</v>
          </cell>
          <cell r="J24">
            <v>0</v>
          </cell>
          <cell r="K24">
            <v>0</v>
          </cell>
          <cell r="L24">
            <v>0</v>
          </cell>
          <cell r="M24">
            <v>1</v>
          </cell>
          <cell r="N24">
            <v>0</v>
          </cell>
          <cell r="O24">
            <v>0</v>
          </cell>
          <cell r="P24">
            <v>0</v>
          </cell>
          <cell r="Q24">
            <v>0</v>
          </cell>
          <cell r="R24">
            <v>1</v>
          </cell>
          <cell r="S24">
            <v>0</v>
          </cell>
          <cell r="T24">
            <v>0</v>
          </cell>
          <cell r="U24">
            <v>0</v>
          </cell>
          <cell r="V24">
            <v>0</v>
          </cell>
          <cell r="W24">
            <v>1</v>
          </cell>
          <cell r="X24">
            <v>2</v>
          </cell>
          <cell r="Y24">
            <v>1</v>
          </cell>
          <cell r="Z24">
            <v>0</v>
          </cell>
          <cell r="AA24">
            <v>0</v>
          </cell>
        </row>
        <row r="25">
          <cell r="A25">
            <v>24</v>
          </cell>
          <cell r="B25">
            <v>0</v>
          </cell>
          <cell r="C25">
            <v>0</v>
          </cell>
          <cell r="D25">
            <v>0</v>
          </cell>
          <cell r="E25">
            <v>0</v>
          </cell>
          <cell r="F25">
            <v>0</v>
          </cell>
          <cell r="G25">
            <v>1</v>
          </cell>
          <cell r="H25">
            <v>0</v>
          </cell>
          <cell r="I25">
            <v>0</v>
          </cell>
          <cell r="J25">
            <v>0</v>
          </cell>
          <cell r="K25">
            <v>0</v>
          </cell>
          <cell r="L25">
            <v>0</v>
          </cell>
          <cell r="M25">
            <v>0</v>
          </cell>
          <cell r="N25">
            <v>0</v>
          </cell>
          <cell r="O25">
            <v>0</v>
          </cell>
          <cell r="P25">
            <v>0</v>
          </cell>
          <cell r="Q25">
            <v>0</v>
          </cell>
          <cell r="R25">
            <v>1</v>
          </cell>
          <cell r="S25">
            <v>0</v>
          </cell>
          <cell r="T25">
            <v>1</v>
          </cell>
          <cell r="U25">
            <v>0</v>
          </cell>
          <cell r="V25">
            <v>0</v>
          </cell>
          <cell r="W25">
            <v>1</v>
          </cell>
          <cell r="X25">
            <v>1</v>
          </cell>
          <cell r="Y25">
            <v>0</v>
          </cell>
          <cell r="Z25">
            <v>0</v>
          </cell>
          <cell r="AA25">
            <v>0</v>
          </cell>
        </row>
        <row r="26">
          <cell r="A26">
            <v>25</v>
          </cell>
          <cell r="B26">
            <v>0</v>
          </cell>
          <cell r="C26">
            <v>0</v>
          </cell>
          <cell r="D26">
            <v>0</v>
          </cell>
          <cell r="E26">
            <v>0</v>
          </cell>
          <cell r="F26">
            <v>0</v>
          </cell>
          <cell r="G26">
            <v>0</v>
          </cell>
          <cell r="H26">
            <v>0</v>
          </cell>
          <cell r="I26">
            <v>0</v>
          </cell>
          <cell r="J26">
            <v>0</v>
          </cell>
          <cell r="K26">
            <v>0</v>
          </cell>
          <cell r="L26">
            <v>0</v>
          </cell>
          <cell r="M26">
            <v>1</v>
          </cell>
          <cell r="N26">
            <v>0</v>
          </cell>
          <cell r="O26">
            <v>0</v>
          </cell>
          <cell r="P26">
            <v>0</v>
          </cell>
          <cell r="Q26">
            <v>0</v>
          </cell>
          <cell r="R26">
            <v>0</v>
          </cell>
          <cell r="S26">
            <v>0</v>
          </cell>
          <cell r="T26">
            <v>1</v>
          </cell>
          <cell r="U26">
            <v>0</v>
          </cell>
          <cell r="V26">
            <v>0</v>
          </cell>
          <cell r="W26">
            <v>1</v>
          </cell>
          <cell r="X26">
            <v>0</v>
          </cell>
          <cell r="Y26">
            <v>1</v>
          </cell>
          <cell r="Z26">
            <v>0</v>
          </cell>
          <cell r="AA26">
            <v>0</v>
          </cell>
        </row>
        <row r="27">
          <cell r="A27">
            <v>26</v>
          </cell>
          <cell r="B27">
            <v>0</v>
          </cell>
          <cell r="C27">
            <v>0</v>
          </cell>
          <cell r="D27">
            <v>0</v>
          </cell>
          <cell r="E27">
            <v>0</v>
          </cell>
          <cell r="F27">
            <v>0</v>
          </cell>
          <cell r="G27">
            <v>1</v>
          </cell>
          <cell r="H27">
            <v>0</v>
          </cell>
          <cell r="I27">
            <v>0</v>
          </cell>
          <cell r="J27">
            <v>0</v>
          </cell>
          <cell r="K27">
            <v>0</v>
          </cell>
          <cell r="L27">
            <v>0</v>
          </cell>
          <cell r="M27">
            <v>0</v>
          </cell>
          <cell r="N27">
            <v>0</v>
          </cell>
          <cell r="O27">
            <v>0</v>
          </cell>
          <cell r="P27">
            <v>0</v>
          </cell>
          <cell r="Q27">
            <v>0</v>
          </cell>
          <cell r="R27">
            <v>0</v>
          </cell>
          <cell r="S27">
            <v>0</v>
          </cell>
          <cell r="T27">
            <v>1</v>
          </cell>
          <cell r="U27">
            <v>0</v>
          </cell>
          <cell r="V27">
            <v>0</v>
          </cell>
          <cell r="W27">
            <v>1</v>
          </cell>
          <cell r="X27">
            <v>1</v>
          </cell>
          <cell r="Y27">
            <v>1</v>
          </cell>
          <cell r="Z27">
            <v>0</v>
          </cell>
          <cell r="AA27">
            <v>0</v>
          </cell>
        </row>
        <row r="28">
          <cell r="A28">
            <v>27</v>
          </cell>
          <cell r="B28">
            <v>0</v>
          </cell>
          <cell r="C28">
            <v>0</v>
          </cell>
          <cell r="D28">
            <v>0</v>
          </cell>
          <cell r="E28">
            <v>0</v>
          </cell>
          <cell r="F28">
            <v>0</v>
          </cell>
          <cell r="G28">
            <v>0</v>
          </cell>
          <cell r="H28">
            <v>0</v>
          </cell>
          <cell r="I28">
            <v>0</v>
          </cell>
          <cell r="J28">
            <v>0</v>
          </cell>
          <cell r="K28">
            <v>0</v>
          </cell>
          <cell r="L28">
            <v>0</v>
          </cell>
          <cell r="M28">
            <v>1</v>
          </cell>
          <cell r="N28">
            <v>0</v>
          </cell>
          <cell r="O28">
            <v>0</v>
          </cell>
          <cell r="P28">
            <v>0</v>
          </cell>
          <cell r="Q28">
            <v>0</v>
          </cell>
          <cell r="R28">
            <v>0</v>
          </cell>
          <cell r="S28">
            <v>0</v>
          </cell>
          <cell r="T28">
            <v>0</v>
          </cell>
          <cell r="U28">
            <v>0</v>
          </cell>
          <cell r="V28">
            <v>0</v>
          </cell>
          <cell r="W28">
            <v>0</v>
          </cell>
          <cell r="X28">
            <v>1</v>
          </cell>
          <cell r="Y28">
            <v>1</v>
          </cell>
          <cell r="Z28">
            <v>0</v>
          </cell>
          <cell r="AA28">
            <v>0</v>
          </cell>
        </row>
        <row r="29">
          <cell r="A29">
            <v>28</v>
          </cell>
          <cell r="B29">
            <v>0</v>
          </cell>
          <cell r="C29">
            <v>0</v>
          </cell>
          <cell r="D29">
            <v>0</v>
          </cell>
          <cell r="E29">
            <v>0</v>
          </cell>
          <cell r="F29">
            <v>0</v>
          </cell>
          <cell r="G29">
            <v>1</v>
          </cell>
          <cell r="H29">
            <v>0</v>
          </cell>
          <cell r="I29">
            <v>0</v>
          </cell>
          <cell r="J29">
            <v>0</v>
          </cell>
          <cell r="K29">
            <v>0</v>
          </cell>
          <cell r="L29">
            <v>0</v>
          </cell>
          <cell r="M29">
            <v>1</v>
          </cell>
          <cell r="N29">
            <v>0</v>
          </cell>
          <cell r="O29">
            <v>0</v>
          </cell>
          <cell r="P29">
            <v>0</v>
          </cell>
          <cell r="Q29">
            <v>0</v>
          </cell>
          <cell r="R29">
            <v>0</v>
          </cell>
          <cell r="S29">
            <v>0</v>
          </cell>
          <cell r="T29">
            <v>1</v>
          </cell>
          <cell r="U29">
            <v>0</v>
          </cell>
          <cell r="V29">
            <v>0</v>
          </cell>
          <cell r="W29">
            <v>0</v>
          </cell>
          <cell r="X29">
            <v>0</v>
          </cell>
          <cell r="Y29">
            <v>0</v>
          </cell>
          <cell r="Z29">
            <v>0</v>
          </cell>
          <cell r="AA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0</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0</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1</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1</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7F12D-1B3C-4B35-ABFD-7D1C6B7F9B07}">
  <dimension ref="B2:AA27"/>
  <sheetViews>
    <sheetView workbookViewId="0">
      <selection activeCell="D18" sqref="D18"/>
    </sheetView>
  </sheetViews>
  <sheetFormatPr baseColWidth="10" defaultRowHeight="14.5" x14ac:dyDescent="0.35"/>
  <cols>
    <col min="2" max="2" width="14.7265625" customWidth="1"/>
    <col min="3" max="3" width="49.6328125" customWidth="1"/>
    <col min="6" max="6" width="14.7265625" customWidth="1"/>
    <col min="7" max="7" width="49.6328125" customWidth="1"/>
    <col min="10" max="10" width="14.7265625" customWidth="1"/>
    <col min="11" max="11" width="49.6328125" customWidth="1"/>
    <col min="14" max="14" width="14.7265625" customWidth="1"/>
    <col min="15" max="15" width="49.6328125" customWidth="1"/>
    <col min="18" max="18" width="14.7265625" customWidth="1"/>
    <col min="19" max="19" width="49.6328125" customWidth="1"/>
    <col min="22" max="22" width="14.7265625" customWidth="1"/>
    <col min="23" max="23" width="49.6328125" customWidth="1"/>
    <col min="26" max="26" width="14.7265625" customWidth="1"/>
    <col min="27" max="27" width="49.6328125" customWidth="1"/>
  </cols>
  <sheetData>
    <row r="2" spans="2:27" x14ac:dyDescent="0.35">
      <c r="B2" s="2" t="s">
        <v>6</v>
      </c>
      <c r="C2" s="2" t="s">
        <v>7</v>
      </c>
      <c r="F2" s="2" t="s">
        <v>6</v>
      </c>
      <c r="G2" s="2" t="s">
        <v>7</v>
      </c>
      <c r="J2" s="2" t="s">
        <v>6</v>
      </c>
      <c r="K2" s="2" t="s">
        <v>7</v>
      </c>
      <c r="N2" s="2" t="s">
        <v>6</v>
      </c>
      <c r="O2" s="2" t="s">
        <v>7</v>
      </c>
      <c r="R2" s="2" t="s">
        <v>6</v>
      </c>
      <c r="S2" s="2" t="s">
        <v>7</v>
      </c>
      <c r="V2" s="2" t="s">
        <v>6</v>
      </c>
      <c r="W2" s="2" t="s">
        <v>7</v>
      </c>
      <c r="Z2" s="2" t="s">
        <v>6</v>
      </c>
      <c r="AA2" s="2" t="s">
        <v>7</v>
      </c>
    </row>
    <row r="3" spans="2:27" ht="77" customHeight="1" x14ac:dyDescent="0.35">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row>
    <row r="4" spans="2:27" x14ac:dyDescent="0.35">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row>
    <row r="5" spans="2:27" x14ac:dyDescent="0.35">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row>
    <row r="6" spans="2:27" x14ac:dyDescent="0.35">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row>
    <row r="7" spans="2:27" x14ac:dyDescent="0.35">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row>
    <row r="8" spans="2:27" x14ac:dyDescent="0.35">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row>
    <row r="9" spans="2:27" x14ac:dyDescent="0.35">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row>
    <row r="10" spans="2:27" x14ac:dyDescent="0.35">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row>
    <row r="11" spans="2:27" x14ac:dyDescent="0.35">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row>
    <row r="12" spans="2:27" x14ac:dyDescent="0.35">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row>
    <row r="13" spans="2:27" x14ac:dyDescent="0.35">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row>
    <row r="14" spans="2:27" x14ac:dyDescent="0.35">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row>
    <row r="15" spans="2:27" x14ac:dyDescent="0.35">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row>
    <row r="16" spans="2:27" x14ac:dyDescent="0.35">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row>
    <row r="17" spans="2:27" x14ac:dyDescent="0.35">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row>
    <row r="18" spans="2:27" x14ac:dyDescent="0.35">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row>
    <row r="19" spans="2:27" x14ac:dyDescent="0.35">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row>
    <row r="20" spans="2:27" x14ac:dyDescent="0.35">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row>
    <row r="21" spans="2:27" x14ac:dyDescent="0.35">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row>
    <row r="22" spans="2:27" x14ac:dyDescent="0.35">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row>
    <row r="23" spans="2:27" x14ac:dyDescent="0.35">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row>
    <row r="24" spans="2:27" x14ac:dyDescent="0.35">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row>
    <row r="25" spans="2:27" x14ac:dyDescent="0.35">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row>
    <row r="26" spans="2:27" x14ac:dyDescent="0.35">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row>
    <row r="27" spans="2:27" x14ac:dyDescent="0.35">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row>
  </sheetData>
  <conditionalFormatting sqref="B4:C27">
    <cfRule type="cellIs" dxfId="114" priority="120" operator="equal">
      <formula>"p3"</formula>
    </cfRule>
    <cfRule type="cellIs" dxfId="113" priority="122" operator="equal">
      <formula>"p1"</formula>
    </cfRule>
    <cfRule type="cellIs" dxfId="112" priority="121" operator="equal">
      <formula>"p2"</formula>
    </cfRule>
    <cfRule type="cellIs" dxfId="111" priority="116" operator="equal">
      <formula>"p7"</formula>
    </cfRule>
    <cfRule type="cellIs" dxfId="110" priority="117" operator="equal">
      <formula>"p6"</formula>
    </cfRule>
    <cfRule type="cellIs" dxfId="109" priority="118" operator="equal">
      <formula>"p5"</formula>
    </cfRule>
    <cfRule type="cellIs" dxfId="108" priority="119" operator="equal">
      <formula>"p4"</formula>
    </cfRule>
  </conditionalFormatting>
  <conditionalFormatting sqref="F4:G27">
    <cfRule type="cellIs" dxfId="107" priority="73" operator="equal">
      <formula>"p1"</formula>
    </cfRule>
    <cfRule type="cellIs" dxfId="106" priority="71" operator="equal">
      <formula>"p3"</formula>
    </cfRule>
    <cfRule type="cellIs" dxfId="105" priority="70" operator="equal">
      <formula>"p4"</formula>
    </cfRule>
    <cfRule type="cellIs" dxfId="104" priority="69" operator="equal">
      <formula>"p5"</formula>
    </cfRule>
    <cfRule type="cellIs" dxfId="103" priority="68" operator="equal">
      <formula>"p6"</formula>
    </cfRule>
    <cfRule type="cellIs" dxfId="102" priority="67" operator="equal">
      <formula>"p7"</formula>
    </cfRule>
    <cfRule type="cellIs" dxfId="101" priority="72" operator="equal">
      <formula>"p2"</formula>
    </cfRule>
  </conditionalFormatting>
  <conditionalFormatting sqref="F5:G27">
    <cfRule type="cellIs" dxfId="100" priority="66" operator="equal">
      <formula>"p8"</formula>
    </cfRule>
  </conditionalFormatting>
  <conditionalFormatting sqref="J4:K4">
    <cfRule type="cellIs" dxfId="99" priority="102" operator="equal">
      <formula>"p7"</formula>
    </cfRule>
    <cfRule type="cellIs" dxfId="98" priority="104" operator="equal">
      <formula>"p5"</formula>
    </cfRule>
    <cfRule type="cellIs" dxfId="97" priority="103" operator="equal">
      <formula>"p6"</formula>
    </cfRule>
    <cfRule type="cellIs" dxfId="96" priority="108" operator="equal">
      <formula>"p1"</formula>
    </cfRule>
    <cfRule type="cellIs" dxfId="95" priority="107" operator="equal">
      <formula>"p2"</formula>
    </cfRule>
    <cfRule type="cellIs" dxfId="94" priority="106" operator="equal">
      <formula>"p3"</formula>
    </cfRule>
    <cfRule type="cellIs" dxfId="93" priority="105" operator="equal">
      <formula>"p4"</formula>
    </cfRule>
  </conditionalFormatting>
  <conditionalFormatting sqref="J5:K27">
    <cfRule type="cellIs" dxfId="92" priority="53" operator="equal">
      <formula>"p13"</formula>
    </cfRule>
    <cfRule type="cellIs" dxfId="91" priority="54" operator="equal">
      <formula>"p12"</formula>
    </cfRule>
    <cfRule type="cellIs" dxfId="90" priority="55" operator="equal">
      <formula>"p11"</formula>
    </cfRule>
    <cfRule type="cellIs" dxfId="89" priority="56" operator="equal">
      <formula>"p10"</formula>
    </cfRule>
    <cfRule type="cellIs" dxfId="88" priority="57" operator="equal">
      <formula>"p9"</formula>
    </cfRule>
  </conditionalFormatting>
  <conditionalFormatting sqref="K5:K27">
    <cfRule type="cellIs" dxfId="87" priority="65" operator="equal">
      <formula>"p1"</formula>
    </cfRule>
    <cfRule type="cellIs" dxfId="86" priority="60" operator="equal">
      <formula>"p6"</formula>
    </cfRule>
    <cfRule type="cellIs" dxfId="85" priority="61" operator="equal">
      <formula>"p5"</formula>
    </cfRule>
    <cfRule type="cellIs" dxfId="84" priority="58" operator="equal">
      <formula>"p8"</formula>
    </cfRule>
    <cfRule type="cellIs" dxfId="83" priority="62" operator="equal">
      <formula>"p4"</formula>
    </cfRule>
    <cfRule type="cellIs" dxfId="82" priority="63" operator="equal">
      <formula>"p3"</formula>
    </cfRule>
    <cfRule type="cellIs" dxfId="81" priority="64" operator="equal">
      <formula>"p2"</formula>
    </cfRule>
    <cfRule type="cellIs" dxfId="80" priority="59" operator="equal">
      <formula>"p7"</formula>
    </cfRule>
  </conditionalFormatting>
  <conditionalFormatting sqref="N4:O4">
    <cfRule type="cellIs" dxfId="79" priority="100" operator="equal">
      <formula>"p2"</formula>
    </cfRule>
    <cfRule type="cellIs" dxfId="78" priority="101" operator="equal">
      <formula>"p1"</formula>
    </cfRule>
    <cfRule type="cellIs" dxfId="77" priority="95" operator="equal">
      <formula>"p7"</formula>
    </cfRule>
    <cfRule type="cellIs" dxfId="76" priority="96" operator="equal">
      <formula>"p6"</formula>
    </cfRule>
    <cfRule type="cellIs" dxfId="75" priority="97" operator="equal">
      <formula>"p5"</formula>
    </cfRule>
    <cfRule type="cellIs" dxfId="74" priority="98" operator="equal">
      <formula>"p4"</formula>
    </cfRule>
    <cfRule type="cellIs" dxfId="73" priority="99" operator="equal">
      <formula>"p3"</formula>
    </cfRule>
  </conditionalFormatting>
  <conditionalFormatting sqref="N5:O27">
    <cfRule type="cellIs" dxfId="72" priority="42" operator="equal">
      <formula>"p11"</formula>
    </cfRule>
    <cfRule type="cellIs" dxfId="71" priority="41" operator="equal">
      <formula>"p12"</formula>
    </cfRule>
    <cfRule type="cellIs" dxfId="70" priority="40" operator="equal">
      <formula>"p13"</formula>
    </cfRule>
    <cfRule type="cellIs" dxfId="69" priority="44" operator="equal">
      <formula>"p9"</formula>
    </cfRule>
    <cfRule type="cellIs" dxfId="68" priority="43" operator="equal">
      <formula>"p10"</formula>
    </cfRule>
  </conditionalFormatting>
  <conditionalFormatting sqref="O5:O27">
    <cfRule type="cellIs" dxfId="67" priority="47" operator="equal">
      <formula>"p6"</formula>
    </cfRule>
    <cfRule type="cellIs" dxfId="66" priority="48" operator="equal">
      <formula>"p5"</formula>
    </cfRule>
    <cfRule type="cellIs" dxfId="65" priority="49" operator="equal">
      <formula>"p4"</formula>
    </cfRule>
    <cfRule type="cellIs" dxfId="64" priority="50" operator="equal">
      <formula>"p3"</formula>
    </cfRule>
    <cfRule type="cellIs" dxfId="63" priority="51" operator="equal">
      <formula>"p2"</formula>
    </cfRule>
    <cfRule type="cellIs" dxfId="62" priority="52" operator="equal">
      <formula>"p1"</formula>
    </cfRule>
    <cfRule type="cellIs" dxfId="61" priority="46" operator="equal">
      <formula>"p7"</formula>
    </cfRule>
    <cfRule type="cellIs" dxfId="60" priority="45" operator="equal">
      <formula>"p8"</formula>
    </cfRule>
  </conditionalFormatting>
  <conditionalFormatting sqref="R4:S4">
    <cfRule type="cellIs" dxfId="59" priority="90" operator="equal">
      <formula>"p5"</formula>
    </cfRule>
    <cfRule type="cellIs" dxfId="58" priority="89" operator="equal">
      <formula>"p6"</formula>
    </cfRule>
    <cfRule type="cellIs" dxfId="57" priority="93" operator="equal">
      <formula>"p2"</formula>
    </cfRule>
    <cfRule type="cellIs" dxfId="56" priority="92" operator="equal">
      <formula>"p3"</formula>
    </cfRule>
    <cfRule type="cellIs" dxfId="55" priority="88" operator="equal">
      <formula>"p7"</formula>
    </cfRule>
    <cfRule type="cellIs" dxfId="54" priority="91" operator="equal">
      <formula>"p4"</formula>
    </cfRule>
    <cfRule type="cellIs" dxfId="53" priority="94" operator="equal">
      <formula>"p1"</formula>
    </cfRule>
  </conditionalFormatting>
  <conditionalFormatting sqref="R5:S27">
    <cfRule type="cellIs" dxfId="52" priority="29" operator="equal">
      <formula>"p11"</formula>
    </cfRule>
    <cfRule type="cellIs" dxfId="51" priority="27" operator="equal">
      <formula>"p13"</formula>
    </cfRule>
    <cfRule type="cellIs" dxfId="50" priority="28" operator="equal">
      <formula>"p12"</formula>
    </cfRule>
    <cfRule type="cellIs" dxfId="49" priority="30" operator="equal">
      <formula>"p10"</formula>
    </cfRule>
    <cfRule type="cellIs" dxfId="48" priority="31" operator="equal">
      <formula>"p9"</formula>
    </cfRule>
  </conditionalFormatting>
  <conditionalFormatting sqref="S5:S27">
    <cfRule type="cellIs" dxfId="47" priority="33" operator="equal">
      <formula>"p7"</formula>
    </cfRule>
    <cfRule type="cellIs" dxfId="46" priority="39" operator="equal">
      <formula>"p1"</formula>
    </cfRule>
    <cfRule type="cellIs" dxfId="45" priority="38" operator="equal">
      <formula>"p2"</formula>
    </cfRule>
    <cfRule type="cellIs" dxfId="44" priority="32" operator="equal">
      <formula>"p8"</formula>
    </cfRule>
    <cfRule type="cellIs" dxfId="43" priority="37" operator="equal">
      <formula>"p3"</formula>
    </cfRule>
    <cfRule type="cellIs" dxfId="42" priority="36" operator="equal">
      <formula>"p4"</formula>
    </cfRule>
    <cfRule type="cellIs" dxfId="41" priority="35" operator="equal">
      <formula>"p5"</formula>
    </cfRule>
    <cfRule type="cellIs" dxfId="40" priority="34" operator="equal">
      <formula>"p6"</formula>
    </cfRule>
  </conditionalFormatting>
  <conditionalFormatting sqref="V4:W4">
    <cfRule type="cellIs" dxfId="39" priority="87" operator="equal">
      <formula>"p1"</formula>
    </cfRule>
    <cfRule type="cellIs" dxfId="38" priority="83" operator="equal">
      <formula>"p5"</formula>
    </cfRule>
    <cfRule type="cellIs" dxfId="37" priority="82" operator="equal">
      <formula>"p6"</formula>
    </cfRule>
    <cfRule type="cellIs" dxfId="36" priority="81" operator="equal">
      <formula>"p7"</formula>
    </cfRule>
    <cfRule type="cellIs" dxfId="35" priority="85" operator="equal">
      <formula>"p3"</formula>
    </cfRule>
    <cfRule type="cellIs" dxfId="34" priority="86" operator="equal">
      <formula>"p2"</formula>
    </cfRule>
    <cfRule type="cellIs" dxfId="33" priority="84" operator="equal">
      <formula>"p4"</formula>
    </cfRule>
  </conditionalFormatting>
  <conditionalFormatting sqref="V5:W27">
    <cfRule type="cellIs" dxfId="32" priority="15" operator="equal">
      <formula>"p12"</formula>
    </cfRule>
    <cfRule type="cellIs" dxfId="31" priority="17" operator="equal">
      <formula>"p10"</formula>
    </cfRule>
    <cfRule type="cellIs" dxfId="30" priority="18" operator="equal">
      <formula>"p9"</formula>
    </cfRule>
    <cfRule type="cellIs" dxfId="29" priority="14" operator="equal">
      <formula>"p13"</formula>
    </cfRule>
    <cfRule type="cellIs" dxfId="28" priority="16" operator="equal">
      <formula>"p11"</formula>
    </cfRule>
  </conditionalFormatting>
  <conditionalFormatting sqref="W5:W27">
    <cfRule type="cellIs" dxfId="27" priority="21" operator="equal">
      <formula>"p6"</formula>
    </cfRule>
    <cfRule type="cellIs" dxfId="26" priority="19" operator="equal">
      <formula>"p8"</formula>
    </cfRule>
    <cfRule type="cellIs" dxfId="25" priority="20" operator="equal">
      <formula>"p7"</formula>
    </cfRule>
    <cfRule type="cellIs" dxfId="24" priority="26" operator="equal">
      <formula>"p1"</formula>
    </cfRule>
    <cfRule type="cellIs" dxfId="23" priority="25" operator="equal">
      <formula>"p2"</formula>
    </cfRule>
    <cfRule type="cellIs" dxfId="22" priority="24" operator="equal">
      <formula>"p3"</formula>
    </cfRule>
    <cfRule type="cellIs" dxfId="21" priority="23" operator="equal">
      <formula>"p4"</formula>
    </cfRule>
    <cfRule type="cellIs" dxfId="20" priority="22" operator="equal">
      <formula>"p5"</formula>
    </cfRule>
  </conditionalFormatting>
  <conditionalFormatting sqref="Z4:AA4">
    <cfRule type="cellIs" dxfId="19" priority="77" operator="equal">
      <formula>"p4"</formula>
    </cfRule>
    <cfRule type="cellIs" dxfId="18" priority="78" operator="equal">
      <formula>"p3"</formula>
    </cfRule>
    <cfRule type="cellIs" dxfId="17" priority="79" operator="equal">
      <formula>"p2"</formula>
    </cfRule>
    <cfRule type="cellIs" dxfId="16" priority="80" operator="equal">
      <formula>"p1"</formula>
    </cfRule>
    <cfRule type="cellIs" dxfId="15" priority="74" operator="equal">
      <formula>"p7"</formula>
    </cfRule>
    <cfRule type="cellIs" dxfId="14" priority="75" operator="equal">
      <formula>"p6"</formula>
    </cfRule>
    <cfRule type="cellIs" dxfId="13" priority="76" operator="equal">
      <formula>"p5"</formula>
    </cfRule>
  </conditionalFormatting>
  <conditionalFormatting sqref="Z5:AA27">
    <cfRule type="cellIs" dxfId="12" priority="3" operator="equal">
      <formula>"p11"</formula>
    </cfRule>
    <cfRule type="cellIs" dxfId="11" priority="4" operator="equal">
      <formula>"p10"</formula>
    </cfRule>
    <cfRule type="cellIs" dxfId="10" priority="5" operator="equal">
      <formula>"p9"</formula>
    </cfRule>
    <cfRule type="cellIs" dxfId="9" priority="1" operator="equal">
      <formula>"p13"</formula>
    </cfRule>
    <cfRule type="cellIs" dxfId="8" priority="2" operator="equal">
      <formula>"p12"</formula>
    </cfRule>
  </conditionalFormatting>
  <conditionalFormatting sqref="AA5:AA27">
    <cfRule type="cellIs" dxfId="7" priority="6" operator="equal">
      <formula>"p8"</formula>
    </cfRule>
    <cfRule type="cellIs" dxfId="6" priority="7" operator="equal">
      <formula>"p7"</formula>
    </cfRule>
    <cfRule type="cellIs" dxfId="5" priority="8" operator="equal">
      <formula>"p6"</formula>
    </cfRule>
    <cfRule type="cellIs" dxfId="4" priority="10" operator="equal">
      <formula>"p4"</formula>
    </cfRule>
    <cfRule type="cellIs" dxfId="3" priority="11" operator="equal">
      <formula>"p3"</formula>
    </cfRule>
    <cfRule type="cellIs" dxfId="2" priority="9" operator="equal">
      <formula>"p5"</formula>
    </cfRule>
    <cfRule type="cellIs" dxfId="1" priority="13" operator="equal">
      <formula>"p1"</formula>
    </cfRule>
    <cfRule type="cellIs" dxfId="0" priority="12" operator="equal">
      <formula>"p2"</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3"/>
  <sheetViews>
    <sheetView showGridLines="0" workbookViewId="0">
      <selection activeCell="O3" sqref="O3:O12"/>
    </sheetView>
  </sheetViews>
  <sheetFormatPr baseColWidth="10" defaultRowHeight="14.5" x14ac:dyDescent="0.35"/>
  <cols>
    <col min="1" max="1" width="1.90625" bestFit="1" customWidth="1"/>
    <col min="2" max="2" width="19.36328125" bestFit="1" customWidth="1"/>
    <col min="3" max="3" width="5.90625" bestFit="1" customWidth="1"/>
    <col min="4" max="4" width="6.36328125" bestFit="1" customWidth="1"/>
    <col min="5" max="8" width="5.90625" bestFit="1" customWidth="1"/>
    <col min="9" max="9" width="6.08984375" bestFit="1" customWidth="1"/>
    <col min="10" max="14" width="5.90625" bestFit="1" customWidth="1"/>
    <col min="16" max="16" width="16.26953125" customWidth="1"/>
    <col min="17" max="17" width="46.54296875" customWidth="1"/>
  </cols>
  <sheetData>
    <row r="1" spans="1:14" x14ac:dyDescent="0.35">
      <c r="A1" s="30">
        <v>3</v>
      </c>
    </row>
    <row r="2" spans="1:14" x14ac:dyDescent="0.35">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5">
      <c r="B3" s="1" t="s">
        <v>1</v>
      </c>
      <c r="C3" s="5">
        <v>0</v>
      </c>
      <c r="D3" s="5">
        <v>1</v>
      </c>
      <c r="E3" s="5">
        <v>1</v>
      </c>
      <c r="F3" s="5">
        <v>1</v>
      </c>
      <c r="G3" s="5">
        <v>1</v>
      </c>
      <c r="H3" s="5">
        <v>1</v>
      </c>
      <c r="I3" s="5">
        <v>0</v>
      </c>
      <c r="J3" s="5">
        <v>0</v>
      </c>
      <c r="K3" s="5">
        <v>0</v>
      </c>
      <c r="L3" s="5">
        <v>0</v>
      </c>
      <c r="M3" s="5">
        <v>0</v>
      </c>
      <c r="N3" s="5">
        <v>0</v>
      </c>
    </row>
    <row r="4" spans="1:14" x14ac:dyDescent="0.35">
      <c r="B4" s="7" t="s">
        <v>28</v>
      </c>
      <c r="C4" s="8">
        <f>VLOOKUP($A$1,[1]resultados_proyectados_proporci!$A$1:$AA$29,MATCH(C$2,[1]resultados_proyectados_proporci!$A$1:$AA$1,0),FALSE)</f>
        <v>4.1286140407391397E-2</v>
      </c>
      <c r="D4" s="8">
        <f>VLOOKUP($A$1,[1]resultados_proyectados_proporci!$A$1:$AA$29,MATCH(D$2,[1]resultados_proyectados_proporci!$A$1:$AA$1,0),FALSE)</f>
        <v>6.0158011655294399E-2</v>
      </c>
      <c r="E4" s="8">
        <f>VLOOKUP($A$1,[1]resultados_proyectados_proporci!$A$1:$AA$29,MATCH(E$2,[1]resultados_proyectados_proporci!$A$1:$AA$1,0),FALSE)</f>
        <v>4.0432178820497502E-2</v>
      </c>
      <c r="F4" s="8">
        <f>VLOOKUP($A$1,[1]resultados_proyectados_proporci!$A$1:$AA$29,MATCH(F$2,[1]resultados_proyectados_proporci!$A$1:$AA$1,0),FALSE)</f>
        <v>2.0979843787259499E-2</v>
      </c>
      <c r="G4" s="8">
        <f>VLOOKUP($A$1,[1]resultados_proyectados_proporci!$A$1:$AA$29,MATCH(G$2,[1]resultados_proyectados_proporci!$A$1:$AA$1,0),FALSE)</f>
        <v>6.4175762342438006E-2</v>
      </c>
      <c r="H4" s="8">
        <f>VLOOKUP($A$1,[1]resultados_proyectados_proporci!$A$1:$AA$29,MATCH(H$2,[1]resultados_proyectados_proporci!$A$1:$AA$1,0),FALSE)</f>
        <v>1.8171131182723701E-2</v>
      </c>
      <c r="I4" s="8">
        <f>VLOOKUP($A$1,[1]resultados_proyectados_proporci!$A$1:$AA$29,MATCH(I$2,[1]resultados_proyectados_proporci!$A$1:$AA$1,0),FALSE)</f>
        <v>5.1442687829713798E-2</v>
      </c>
      <c r="J4" s="8">
        <f>VLOOKUP($A$1,[1]resultados_proyectados_proporci!$A$1:$AA$29,MATCH(J$2,[1]resultados_proyectados_proporci!$A$1:$AA$1,0),FALSE)</f>
        <v>5.53134922793087E-2</v>
      </c>
      <c r="K4" s="8">
        <f>VLOOKUP($A$1,[1]resultados_proyectados_proporci!$A$1:$AA$29,MATCH(K$2,[1]resultados_proyectados_proporci!$A$1:$AA$1,0),FALSE)</f>
        <v>9.7582760539339702E-2</v>
      </c>
      <c r="L4" s="8">
        <f>VLOOKUP($A$1,[1]resultados_proyectados_proporci!$A$1:$AA$29,MATCH(L$2,[1]resultados_proyectados_proporci!$A$1:$AA$1,0),FALSE)</f>
        <v>4.3908686248342203E-2</v>
      </c>
      <c r="M4" s="8">
        <f>VLOOKUP($A$1,[1]resultados_proyectados_proporci!$A$1:$AA$29,MATCH(M$2,[1]resultados_proyectados_proporci!$A$1:$AA$1,0),FALSE)</f>
        <v>4.5091054373245502E-2</v>
      </c>
      <c r="N4" s="8">
        <f>VLOOKUP($A$1,[1]resultados_proyectados_proporci!$A$1:$AA$29,MATCH(N$2,[1]resultados_proyectados_proporci!$A$1:$AA$1,0),FALSE)</f>
        <v>3.9654043583940202E-2</v>
      </c>
    </row>
    <row r="5" spans="1:14" x14ac:dyDescent="0.35">
      <c r="B5" s="1" t="s">
        <v>2</v>
      </c>
      <c r="C5" s="6">
        <f>VLOOKUP($A$1,[2]resultados_integracion_partido_!$A$1:$AA$29,MATCH(C$2,[2]resultados_integracion_partido_!$A$1:$AA$1,0),FALSE)</f>
        <v>0</v>
      </c>
      <c r="D5" s="6">
        <f>VLOOKUP($A$1,[2]resultados_integracion_partido_!$A$1:$AA$29,MATCH(D$2,[2]resultados_integracion_partido_!$A$1:$AA$1,0),FALSE)</f>
        <v>1</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1</v>
      </c>
      <c r="L5" s="6">
        <f>VLOOKUP($A$1,[2]resultados_integracion_partido_!$A$1:$AA$29,MATCH(L$2,[2]resultados_integracion_partido_!$A$1:$AA$1,0),FALSE)</f>
        <v>0</v>
      </c>
      <c r="M5" s="6">
        <f>VLOOKUP($A$1,[2]resultados_integracion_partido_!$A$1:$AA$29,MATCH(M$2,[2]resultados_integracion_partido_!$A$1:$AA$1,0),FALSE)</f>
        <v>0</v>
      </c>
      <c r="N5" s="6">
        <f>VLOOKUP($A$1,[2]resultados_integracion_partido_!$A$1:$AA$29,MATCH(N$2,[2]resultados_integracion_partido_!$A$1:$AA$1,0),FALSE)</f>
        <v>0</v>
      </c>
    </row>
    <row r="6" spans="1:14" x14ac:dyDescent="0.35">
      <c r="B6" s="1"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0</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1</v>
      </c>
      <c r="L6" s="6">
        <f>VLOOKUP($A$1,[3]resultados_integracion_partido_!$A$1:$AA$29,MATCH(L$2,[3]resultados_integracion_partido_!$A$1:$AA$1,0),FALSE)</f>
        <v>1</v>
      </c>
      <c r="M6" s="6">
        <f>VLOOKUP($A$1,[3]resultados_integracion_partido_!$A$1:$AA$29,MATCH(M$2,[3]resultados_integracion_partido_!$A$1:$AA$1,0),FALSE)</f>
        <v>1</v>
      </c>
      <c r="N6" s="6">
        <f>VLOOKUP($A$1,[3]resultados_integracion_partido_!$A$1:$AA$29,MATCH(N$2,[3]resultados_integracion_partido_!$A$1:$AA$1,0),FALSE)</f>
        <v>0</v>
      </c>
    </row>
    <row r="7" spans="1:14"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c r="L7" s="6">
        <f>VLOOKUP($A$1,[4]resultados_integracion_partido_!$A$1:$AA$29,MATCH(L$2,[4]resultados_integracion_partido_!$A$1:$AA$1,0),FALSE)</f>
        <v>0</v>
      </c>
      <c r="M7" s="6">
        <f>VLOOKUP($A$1,[4]resultados_integracion_partido_!$A$1:$AA$29,MATCH(M$2,[4]resultados_integracion_partido_!$A$1:$AA$1,0),FALSE)</f>
        <v>1</v>
      </c>
      <c r="N7" s="6">
        <f>VLOOKUP($A$1,[4]resultados_integracion_partido_!$A$1:$AA$29,MATCH(N$2,[4]resultados_integracion_partido_!$A$1:$AA$1,0),FALSE)</f>
        <v>0</v>
      </c>
    </row>
    <row r="8" spans="1:14" x14ac:dyDescent="0.35">
      <c r="B8" s="1" t="s">
        <v>5</v>
      </c>
      <c r="C8" s="6">
        <f>VLOOKUP($A$1,[5]resultados_integracion_partido_!$A$1:$AA$29,MATCH(C$2,[5]resultados_integracion_partido_!$A$1:$AA$1,0),FALSE)</f>
        <v>0</v>
      </c>
      <c r="D8" s="6">
        <f>VLOOKUP($A$1,[5]resultados_integracion_partido_!$A$1:$AA$29,MATCH(D$2,[5]resultados_integracion_partido_!$A$1:$AA$1,0),FALSE)</f>
        <v>1</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c r="L8" s="6">
        <f>VLOOKUP($A$1,[5]resultados_integracion_partido_!$A$1:$AA$29,MATCH(L$2,[5]resultados_integracion_partido_!$A$1:$AA$1,0),FALSE)</f>
        <v>1</v>
      </c>
      <c r="M8" s="6">
        <f>VLOOKUP($A$1,[5]resultados_integracion_partido_!$A$1:$AA$29,MATCH(M$2,[5]resultados_integracion_partido_!$A$1:$AA$1,0),FALSE)</f>
        <v>0</v>
      </c>
      <c r="N8" s="6">
        <f>VLOOKUP($A$1,[5]resultados_integracion_partido_!$A$1:$AA$29,MATCH(N$2,[5]resultados_integracion_partido_!$A$1:$AA$1,0),FALSE)</f>
        <v>1</v>
      </c>
    </row>
    <row r="9" spans="1:14"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c r="L9" s="6">
        <f>VLOOKUP($A$1,[6]resultados_integracion_partido_!$A$1:$AA$29,MATCH(L$2,[6]resultados_integracion_partido_!$A$1:$AA$1,0),FALSE)</f>
        <v>0</v>
      </c>
      <c r="M9" s="6">
        <f>VLOOKUP($A$1,[6]resultados_integracion_partido_!$A$1:$AA$29,MATCH(M$2,[6]resultados_integracion_partido_!$A$1:$AA$1,0),FALSE)</f>
        <v>1</v>
      </c>
      <c r="N9" s="6">
        <f>VLOOKUP($A$1,[6]resultados_integracion_partido_!$A$1:$AA$29,MATCH(N$2,[6]resultados_integracion_partido_!$A$1:$AA$1,0),FALSE)</f>
        <v>1</v>
      </c>
    </row>
    <row r="10" spans="1:14" x14ac:dyDescent="0.35">
      <c r="B10" s="1" t="s">
        <v>32</v>
      </c>
      <c r="C10" s="6">
        <f>VLOOKUP($A$1,[7]resultados_integracion_partido_!$A$1:$AA$29,MATCH(C$2,[7]resultados_integracion_partido_!$A$1:$AA$1,0),FALSE)</f>
        <v>0</v>
      </c>
      <c r="D10" s="6">
        <f>VLOOKUP($A$1,[7]resultados_integracion_partido_!$A$1:$AA$29,MATCH(D$2,[7]resultados_integracion_partido_!$A$1:$AA$1,0),FALSE)</f>
        <v>1</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c r="L10" s="6">
        <f>VLOOKUP($A$1,[7]resultados_integracion_partido_!$A$1:$AA$29,MATCH(L$2,[7]resultados_integracion_partido_!$A$1:$AA$1,0),FALSE)</f>
        <v>0</v>
      </c>
      <c r="M10" s="6">
        <f>VLOOKUP($A$1,[7]resultados_integracion_partido_!$A$1:$AA$29,MATCH(M$2,[7]resultados_integracion_partido_!$A$1:$AA$1,0),FALSE)</f>
        <v>1</v>
      </c>
      <c r="N10" s="6">
        <f>VLOOKUP($A$1,[7]resultados_integracion_partido_!$A$1:$AA$29,MATCH(N$2,[7]resultados_integracion_partido_!$A$1:$AA$1,0),FALSE)</f>
        <v>0</v>
      </c>
    </row>
    <row r="11" spans="1:14"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0</v>
      </c>
      <c r="K11" s="6">
        <f>VLOOKUP($A$1,[8]resultados_integracion_partido_!$A$1:$AA$29,MATCH(K$2,[8]resultados_integracion_partido_!$A$1:$AA$1,0),FALSE)</f>
        <v>1</v>
      </c>
      <c r="L11" s="6">
        <f>VLOOKUP($A$1,[8]resultados_integracion_partido_!$A$1:$AA$29,MATCH(L$2,[8]resultados_integracion_partido_!$A$1:$AA$1,0),FALSE)</f>
        <v>0</v>
      </c>
      <c r="M11" s="6">
        <f>VLOOKUP($A$1,[8]resultados_integracion_partido_!$A$1:$AA$29,MATCH(M$2,[8]resultados_integracion_partido_!$A$1:$AA$1,0),FALSE)</f>
        <v>0</v>
      </c>
      <c r="N11" s="6">
        <f>VLOOKUP($A$1,[8]resultados_integracion_partido_!$A$1:$AA$29,MATCH(N$2,[8]resultados_integracion_partido_!$A$1:$AA$1,0),FALSE)</f>
        <v>1</v>
      </c>
    </row>
    <row r="12" spans="1:14"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0</v>
      </c>
      <c r="K12" s="6">
        <f>VLOOKUP($A$1,[9]resultados_integracion_partido_!$A$1:$AA$29,MATCH(K$2,[9]resultados_integracion_partido_!$A$1:$AA$1,0),FALSE)</f>
        <v>1</v>
      </c>
      <c r="L12" s="6">
        <f>VLOOKUP($A$1,[9]resultados_integracion_partido_!$A$1:$AA$29,MATCH(L$2,[9]resultados_integracion_partido_!$A$1:$AA$1,0),FALSE)</f>
        <v>0</v>
      </c>
      <c r="M12" s="6">
        <f>VLOOKUP($A$1,[9]resultados_integracion_partido_!$A$1:$AA$29,MATCH(M$2,[9]resultados_integracion_partido_!$A$1:$AA$1,0),FALSE)</f>
        <v>0</v>
      </c>
      <c r="N12" s="6">
        <f>VLOOKUP($A$1,[9]resultados_integracion_partido_!$A$1:$AA$29,MATCH(N$2,[9]resultados_integracion_partido_!$A$1:$AA$1,0),FALSE)</f>
        <v>0</v>
      </c>
    </row>
    <row r="13" spans="1:14" ht="6.5" customHeight="1" thickBot="1" x14ac:dyDescent="0.4"/>
    <row r="14" spans="1:14" ht="14.5" customHeight="1" x14ac:dyDescent="0.35">
      <c r="B14" s="34" t="s">
        <v>75</v>
      </c>
      <c r="C14" s="35"/>
      <c r="D14" s="35"/>
      <c r="E14" s="35"/>
      <c r="F14" s="35"/>
      <c r="G14" s="35"/>
      <c r="H14" s="35"/>
      <c r="I14" s="35"/>
      <c r="J14" s="35"/>
      <c r="K14" s="35"/>
      <c r="L14" s="35"/>
      <c r="M14" s="35"/>
      <c r="N14" s="36"/>
    </row>
    <row r="15" spans="1:14" x14ac:dyDescent="0.35">
      <c r="B15" s="37"/>
      <c r="C15" s="38"/>
      <c r="D15" s="38"/>
      <c r="E15" s="38"/>
      <c r="F15" s="38"/>
      <c r="G15" s="38"/>
      <c r="H15" s="38"/>
      <c r="I15" s="38"/>
      <c r="J15" s="38"/>
      <c r="K15" s="38"/>
      <c r="L15" s="38"/>
      <c r="M15" s="38"/>
      <c r="N15" s="39"/>
    </row>
    <row r="16" spans="1:14" x14ac:dyDescent="0.35">
      <c r="B16" s="37"/>
      <c r="C16" s="38"/>
      <c r="D16" s="38"/>
      <c r="E16" s="38"/>
      <c r="F16" s="38"/>
      <c r="G16" s="38"/>
      <c r="H16" s="38"/>
      <c r="I16" s="38"/>
      <c r="J16" s="38"/>
      <c r="K16" s="38"/>
      <c r="L16" s="38"/>
      <c r="M16" s="38"/>
      <c r="N16" s="39"/>
    </row>
    <row r="17" spans="2:14" x14ac:dyDescent="0.35">
      <c r="B17" s="37"/>
      <c r="C17" s="38"/>
      <c r="D17" s="38"/>
      <c r="E17" s="38"/>
      <c r="F17" s="38"/>
      <c r="G17" s="38"/>
      <c r="H17" s="38"/>
      <c r="I17" s="38"/>
      <c r="J17" s="38"/>
      <c r="K17" s="38"/>
      <c r="L17" s="38"/>
      <c r="M17" s="38"/>
      <c r="N17" s="39"/>
    </row>
    <row r="18" spans="2:14" x14ac:dyDescent="0.35">
      <c r="B18" s="37"/>
      <c r="C18" s="38"/>
      <c r="D18" s="38"/>
      <c r="E18" s="38"/>
      <c r="F18" s="38"/>
      <c r="G18" s="38"/>
      <c r="H18" s="38"/>
      <c r="I18" s="38"/>
      <c r="J18" s="38"/>
      <c r="K18" s="38"/>
      <c r="L18" s="38"/>
      <c r="M18" s="38"/>
      <c r="N18" s="39"/>
    </row>
    <row r="19" spans="2:14" x14ac:dyDescent="0.35">
      <c r="B19" s="37"/>
      <c r="C19" s="38"/>
      <c r="D19" s="38"/>
      <c r="E19" s="38"/>
      <c r="F19" s="38"/>
      <c r="G19" s="38"/>
      <c r="H19" s="38"/>
      <c r="I19" s="38"/>
      <c r="J19" s="38"/>
      <c r="K19" s="38"/>
      <c r="L19" s="38"/>
      <c r="M19" s="38"/>
      <c r="N19" s="39"/>
    </row>
    <row r="20" spans="2:14" x14ac:dyDescent="0.35">
      <c r="B20" s="37"/>
      <c r="C20" s="38"/>
      <c r="D20" s="38"/>
      <c r="E20" s="38"/>
      <c r="F20" s="38"/>
      <c r="G20" s="38"/>
      <c r="H20" s="38"/>
      <c r="I20" s="38"/>
      <c r="J20" s="38"/>
      <c r="K20" s="38"/>
      <c r="L20" s="38"/>
      <c r="M20" s="38"/>
      <c r="N20" s="39"/>
    </row>
    <row r="21" spans="2:14" x14ac:dyDescent="0.35">
      <c r="B21" s="37"/>
      <c r="C21" s="38"/>
      <c r="D21" s="38"/>
      <c r="E21" s="38"/>
      <c r="F21" s="38"/>
      <c r="G21" s="38"/>
      <c r="H21" s="38"/>
      <c r="I21" s="38"/>
      <c r="J21" s="38"/>
      <c r="K21" s="38"/>
      <c r="L21" s="38"/>
      <c r="M21" s="38"/>
      <c r="N21" s="39"/>
    </row>
    <row r="22" spans="2:14" x14ac:dyDescent="0.35">
      <c r="B22" s="37"/>
      <c r="C22" s="38"/>
      <c r="D22" s="38"/>
      <c r="E22" s="38"/>
      <c r="F22" s="38"/>
      <c r="G22" s="38"/>
      <c r="H22" s="38"/>
      <c r="I22" s="38"/>
      <c r="J22" s="38"/>
      <c r="K22" s="38"/>
      <c r="L22" s="38"/>
      <c r="M22" s="38"/>
      <c r="N22" s="39"/>
    </row>
    <row r="23" spans="2:14" ht="101.5" customHeight="1" thickBot="1" x14ac:dyDescent="0.4">
      <c r="B23" s="40"/>
      <c r="C23" s="41"/>
      <c r="D23" s="41"/>
      <c r="E23" s="41"/>
      <c r="F23" s="41"/>
      <c r="G23" s="41"/>
      <c r="H23" s="41"/>
      <c r="I23" s="41"/>
      <c r="J23" s="41"/>
      <c r="K23" s="41"/>
      <c r="L23" s="41"/>
      <c r="M23" s="41"/>
      <c r="N23" s="42"/>
    </row>
  </sheetData>
  <mergeCells count="1">
    <mergeCell ref="B14:N23"/>
  </mergeCells>
  <pageMargins left="0.7" right="0.7" top="0.75" bottom="0.75" header="0.3" footer="0.3"/>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3"/>
  <sheetViews>
    <sheetView showGridLines="0" zoomScaleNormal="100" workbookViewId="0">
      <selection activeCell="L1" sqref="L1"/>
    </sheetView>
  </sheetViews>
  <sheetFormatPr baseColWidth="10" defaultRowHeight="14.5" x14ac:dyDescent="0.35"/>
  <cols>
    <col min="1" max="1" width="1.90625" bestFit="1" customWidth="1"/>
    <col min="2" max="2" width="19.36328125" bestFit="1" customWidth="1"/>
    <col min="3" max="7" width="5.90625" bestFit="1" customWidth="1"/>
    <col min="8" max="8" width="6.08984375" bestFit="1" customWidth="1"/>
    <col min="9" max="11" width="5.90625" bestFit="1" customWidth="1"/>
    <col min="12" max="12" width="16.26953125" customWidth="1"/>
    <col min="13" max="13" width="46" customWidth="1"/>
  </cols>
  <sheetData>
    <row r="1" spans="1:11" x14ac:dyDescent="0.35">
      <c r="A1" s="30">
        <v>5</v>
      </c>
    </row>
    <row r="2" spans="1:11" x14ac:dyDescent="0.35">
      <c r="B2" s="2" t="s">
        <v>0</v>
      </c>
      <c r="C2" s="2" t="s">
        <v>11</v>
      </c>
      <c r="D2" s="2" t="s">
        <v>22</v>
      </c>
      <c r="E2" s="2" t="s">
        <v>23</v>
      </c>
      <c r="F2" s="2" t="s">
        <v>61</v>
      </c>
      <c r="G2" s="2" t="s">
        <v>15</v>
      </c>
      <c r="H2" s="2" t="s">
        <v>17</v>
      </c>
      <c r="I2" s="2" t="s">
        <v>60</v>
      </c>
      <c r="J2" s="2" t="s">
        <v>20</v>
      </c>
      <c r="K2" s="9" t="s">
        <v>21</v>
      </c>
    </row>
    <row r="3" spans="1:11" x14ac:dyDescent="0.35">
      <c r="B3" s="1" t="s">
        <v>1</v>
      </c>
      <c r="C3" s="5">
        <v>1</v>
      </c>
      <c r="D3" s="5">
        <v>1</v>
      </c>
      <c r="E3" s="5">
        <v>2</v>
      </c>
      <c r="F3" s="5">
        <v>1</v>
      </c>
      <c r="G3" s="5">
        <v>0</v>
      </c>
      <c r="H3" s="5">
        <v>1</v>
      </c>
      <c r="I3" s="5">
        <v>0</v>
      </c>
      <c r="J3" s="5">
        <v>1</v>
      </c>
      <c r="K3" s="5">
        <v>0</v>
      </c>
    </row>
    <row r="4" spans="1:11" x14ac:dyDescent="0.35">
      <c r="B4" s="7" t="s">
        <v>28</v>
      </c>
      <c r="C4" s="8">
        <f>VLOOKUP($A$1,[1]resultados_proyectados_proporci!$A$1:$AA$29,MATCH(C$2,[1]resultados_proyectados_proporci!$A$1:$AA$1,0),FALSE)</f>
        <v>5.02370237710381E-2</v>
      </c>
      <c r="D4" s="8">
        <f>VLOOKUP($A$1,[1]resultados_proyectados_proporci!$A$1:$AA$29,MATCH(D$2,[1]resultados_proyectados_proporci!$A$1:$AA$1,0),FALSE)</f>
        <v>5.9917163267466302E-2</v>
      </c>
      <c r="E4" s="8">
        <f>VLOOKUP($A$1,[1]resultados_proyectados_proporci!$A$1:$AA$29,MATCH(E$2,[1]resultados_proyectados_proporci!$A$1:$AA$1,0),FALSE)</f>
        <v>9.4617829566033304E-2</v>
      </c>
      <c r="F4" s="8">
        <f>VLOOKUP($A$1,[1]resultados_proyectados_proporci!$A$1:$AA$29,MATCH(F$2,[1]resultados_proyectados_proporci!$A$1:$AA$1,0),FALSE)</f>
        <v>3.0487307713214101E-2</v>
      </c>
      <c r="G4" s="8">
        <f>VLOOKUP($A$1,[1]resultados_proyectados_proporci!$A$1:$AA$29,MATCH(G$2,[1]resultados_proyectados_proporci!$A$1:$AA$1,0),FALSE)</f>
        <v>8.5525958179680298E-2</v>
      </c>
      <c r="H4" s="8">
        <f>VLOOKUP($A$1,[1]resultados_proyectados_proporci!$A$1:$AA$29,MATCH(H$2,[1]resultados_proyectados_proporci!$A$1:$AA$1,0),FALSE)</f>
        <v>7.5763210820986193E-2</v>
      </c>
      <c r="I4" s="8">
        <f>VLOOKUP($A$1,[1]resultados_proyectados_proporci!$A$1:$AA$29,MATCH(I$2,[1]resultados_proyectados_proporci!$A$1:$AA$1,0),FALSE)</f>
        <v>8.2057500793893706E-2</v>
      </c>
      <c r="J4" s="8">
        <f>VLOOKUP($A$1,[1]resultados_proyectados_proporci!$A$1:$AA$29,MATCH(J$2,[1]resultados_proyectados_proporci!$A$1:$AA$1,0),FALSE)</f>
        <v>6.2396471964822599E-2</v>
      </c>
      <c r="K4" s="8">
        <f>VLOOKUP($A$1,[1]resultados_proyectados_proporci!$A$1:$AA$29,MATCH(K$2,[1]resultados_proyectados_proporci!$A$1:$AA$1,0),FALSE)</f>
        <v>3.0860294727687199E-2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1</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1</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1</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1</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ht="15" thickBot="1" x14ac:dyDescent="0.4"/>
    <row r="14" spans="1:11" ht="14.5" customHeight="1" x14ac:dyDescent="0.35">
      <c r="B14" s="34" t="s">
        <v>74</v>
      </c>
      <c r="C14" s="35"/>
      <c r="D14" s="35"/>
      <c r="E14" s="35"/>
      <c r="F14" s="35"/>
      <c r="G14" s="35"/>
      <c r="H14" s="35"/>
      <c r="I14" s="35"/>
      <c r="J14" s="35"/>
      <c r="K14" s="36"/>
    </row>
    <row r="15" spans="1:11" x14ac:dyDescent="0.35">
      <c r="B15" s="37"/>
      <c r="C15" s="38"/>
      <c r="D15" s="38"/>
      <c r="E15" s="38"/>
      <c r="F15" s="38"/>
      <c r="G15" s="38"/>
      <c r="H15" s="38"/>
      <c r="I15" s="38"/>
      <c r="J15" s="38"/>
      <c r="K15" s="39"/>
    </row>
    <row r="16" spans="1:11" x14ac:dyDescent="0.35">
      <c r="B16" s="37"/>
      <c r="C16" s="38"/>
      <c r="D16" s="38"/>
      <c r="E16" s="38"/>
      <c r="F16" s="38"/>
      <c r="G16" s="38"/>
      <c r="H16" s="38"/>
      <c r="I16" s="38"/>
      <c r="J16" s="38"/>
      <c r="K16" s="39"/>
    </row>
    <row r="17" spans="2:11" x14ac:dyDescent="0.35">
      <c r="B17" s="37"/>
      <c r="C17" s="38"/>
      <c r="D17" s="38"/>
      <c r="E17" s="38"/>
      <c r="F17" s="38"/>
      <c r="G17" s="38"/>
      <c r="H17" s="38"/>
      <c r="I17" s="38"/>
      <c r="J17" s="38"/>
      <c r="K17" s="39"/>
    </row>
    <row r="18" spans="2:11" x14ac:dyDescent="0.35">
      <c r="B18" s="37"/>
      <c r="C18" s="38"/>
      <c r="D18" s="38"/>
      <c r="E18" s="38"/>
      <c r="F18" s="38"/>
      <c r="G18" s="38"/>
      <c r="H18" s="38"/>
      <c r="I18" s="38"/>
      <c r="J18" s="38"/>
      <c r="K18" s="39"/>
    </row>
    <row r="19" spans="2:11" x14ac:dyDescent="0.35">
      <c r="B19" s="37"/>
      <c r="C19" s="38"/>
      <c r="D19" s="38"/>
      <c r="E19" s="38"/>
      <c r="F19" s="38"/>
      <c r="G19" s="38"/>
      <c r="H19" s="38"/>
      <c r="I19" s="38"/>
      <c r="J19" s="38"/>
      <c r="K19" s="39"/>
    </row>
    <row r="20" spans="2:11" x14ac:dyDescent="0.35">
      <c r="B20" s="37"/>
      <c r="C20" s="38"/>
      <c r="D20" s="38"/>
      <c r="E20" s="38"/>
      <c r="F20" s="38"/>
      <c r="G20" s="38"/>
      <c r="H20" s="38"/>
      <c r="I20" s="38"/>
      <c r="J20" s="38"/>
      <c r="K20" s="39"/>
    </row>
    <row r="21" spans="2:11" x14ac:dyDescent="0.35">
      <c r="B21" s="37"/>
      <c r="C21" s="38"/>
      <c r="D21" s="38"/>
      <c r="E21" s="38"/>
      <c r="F21" s="38"/>
      <c r="G21" s="38"/>
      <c r="H21" s="38"/>
      <c r="I21" s="38"/>
      <c r="J21" s="38"/>
      <c r="K21" s="39"/>
    </row>
    <row r="22" spans="2:11" x14ac:dyDescent="0.35">
      <c r="B22" s="37"/>
      <c r="C22" s="38"/>
      <c r="D22" s="38"/>
      <c r="E22" s="38"/>
      <c r="F22" s="38"/>
      <c r="G22" s="38"/>
      <c r="H22" s="38"/>
      <c r="I22" s="38"/>
      <c r="J22" s="38"/>
      <c r="K22" s="39"/>
    </row>
    <row r="23" spans="2:11" ht="52.5" customHeight="1" thickBot="1" x14ac:dyDescent="0.4">
      <c r="B23" s="40"/>
      <c r="C23" s="41"/>
      <c r="D23" s="41"/>
      <c r="E23" s="41"/>
      <c r="F23" s="41"/>
      <c r="G23" s="41"/>
      <c r="H23" s="41"/>
      <c r="I23" s="41"/>
      <c r="J23" s="41"/>
      <c r="K23" s="42"/>
    </row>
  </sheetData>
  <mergeCells count="1">
    <mergeCell ref="B14:K23"/>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L23"/>
  <sheetViews>
    <sheetView showGridLines="0" workbookViewId="0">
      <selection activeCell="M3" sqref="M3:M12"/>
    </sheetView>
  </sheetViews>
  <sheetFormatPr baseColWidth="10" defaultRowHeight="14.5" x14ac:dyDescent="0.35"/>
  <cols>
    <col min="1" max="1" width="1.90625" bestFit="1" customWidth="1"/>
    <col min="2" max="2" width="19.36328125" bestFit="1" customWidth="1"/>
    <col min="3" max="6" width="5.90625" bestFit="1" customWidth="1"/>
    <col min="7" max="7" width="6.90625" bestFit="1" customWidth="1"/>
    <col min="8" max="8" width="5.90625" bestFit="1" customWidth="1"/>
    <col min="9" max="9" width="6.08984375" bestFit="1" customWidth="1"/>
    <col min="10" max="10" width="6.90625" bestFit="1" customWidth="1"/>
    <col min="11" max="11" width="6.90625" customWidth="1"/>
    <col min="12" max="12" width="5.90625" bestFit="1" customWidth="1"/>
    <col min="14" max="14" width="16.26953125" customWidth="1"/>
    <col min="15" max="15" width="46" customWidth="1"/>
  </cols>
  <sheetData>
    <row r="1" spans="1:12" x14ac:dyDescent="0.35">
      <c r="A1" s="30">
        <v>6</v>
      </c>
    </row>
    <row r="2" spans="1:12" x14ac:dyDescent="0.35">
      <c r="B2" s="2" t="s">
        <v>0</v>
      </c>
      <c r="C2" s="2" t="s">
        <v>11</v>
      </c>
      <c r="D2" s="2" t="s">
        <v>14</v>
      </c>
      <c r="E2" s="2" t="s">
        <v>25</v>
      </c>
      <c r="F2" s="2" t="s">
        <v>22</v>
      </c>
      <c r="G2" s="2" t="s">
        <v>15</v>
      </c>
      <c r="H2" s="2" t="s">
        <v>23</v>
      </c>
      <c r="I2" s="2" t="s">
        <v>17</v>
      </c>
      <c r="J2" s="2" t="s">
        <v>60</v>
      </c>
      <c r="K2" s="2" t="s">
        <v>21</v>
      </c>
      <c r="L2" s="2" t="s">
        <v>20</v>
      </c>
    </row>
    <row r="3" spans="1:12" x14ac:dyDescent="0.35">
      <c r="B3" s="1" t="s">
        <v>1</v>
      </c>
      <c r="C3" s="5">
        <v>2</v>
      </c>
      <c r="D3" s="5">
        <v>1</v>
      </c>
      <c r="E3" s="5">
        <v>1</v>
      </c>
      <c r="F3" s="5">
        <v>1</v>
      </c>
      <c r="G3" s="5">
        <v>2</v>
      </c>
      <c r="H3" s="5">
        <v>0</v>
      </c>
      <c r="I3" s="5">
        <v>0</v>
      </c>
      <c r="J3" s="5">
        <v>1</v>
      </c>
      <c r="K3" s="5">
        <v>0</v>
      </c>
      <c r="L3" s="5">
        <v>0</v>
      </c>
    </row>
    <row r="4" spans="1:12" x14ac:dyDescent="0.35">
      <c r="B4" s="7" t="s">
        <v>28</v>
      </c>
      <c r="C4" s="8">
        <f>VLOOKUP($A$1,[1]resultados_proyectados_proporci!$A$1:$AA$29,MATCH(C$2,[1]resultados_proyectados_proporci!$A$1:$AA$1,0),FALSE)</f>
        <v>6.2517902032209097E-2</v>
      </c>
      <c r="D4" s="8">
        <f>VLOOKUP($A$1,[1]resultados_proyectados_proporci!$A$1:$AA$29,MATCH(D$2,[1]resultados_proyectados_proporci!$A$1:$AA$1,0),FALSE)</f>
        <v>3.8456165284210399E-2</v>
      </c>
      <c r="E4" s="8">
        <f>VLOOKUP($A$1,[1]resultados_proyectados_proporci!$A$1:$AA$29,MATCH(E$2,[1]resultados_proyectados_proporci!$A$1:$AA$1,0),FALSE)</f>
        <v>1.3621707255849999E-2</v>
      </c>
      <c r="F4" s="8">
        <f>VLOOKUP($A$1,[1]resultados_proyectados_proporci!$A$1:$AA$29,MATCH(F$2,[1]resultados_proyectados_proporci!$A$1:$AA$1,0),FALSE)</f>
        <v>5.2437107824273799E-2</v>
      </c>
      <c r="G4" s="8">
        <f>VLOOKUP($A$1,[1]resultados_proyectados_proporci!$A$1:$AA$29,MATCH(G$2,[1]resultados_proyectados_proporci!$A$1:$AA$1,0),FALSE)</f>
        <v>0.12779078451870199</v>
      </c>
      <c r="H4" s="8">
        <f>VLOOKUP($A$1,[1]resultados_proyectados_proporci!$A$1:$AA$29,MATCH(H$2,[1]resultados_proyectados_proporci!$A$1:$AA$1,0),FALSE)</f>
        <v>5.7433514065972802E-2</v>
      </c>
      <c r="I4" s="8">
        <f>VLOOKUP($A$1,[1]resultados_proyectados_proporci!$A$1:$AA$29,MATCH(I$2,[1]resultados_proyectados_proporci!$A$1:$AA$1,0),FALSE)</f>
        <v>5.9195116199122003E-2</v>
      </c>
      <c r="J4" s="8">
        <f>VLOOKUP($A$1,[1]resultados_proyectados_proporci!$A$1:$AA$29,MATCH(J$2,[1]resultados_proyectados_proporci!$A$1:$AA$1,0),FALSE)</f>
        <v>0.134046481897549</v>
      </c>
      <c r="K4" s="8">
        <f>VLOOKUP($A$1,[1]resultados_proyectados_proporci!$A$1:$AA$29,MATCH(K$2,[1]resultados_proyectados_proporci!$A$1:$AA$1,0),FALSE)</f>
        <v>4.1129066941162098E-2</v>
      </c>
      <c r="L4" s="8">
        <f>VLOOKUP($A$1,[1]resultados_proyectados_proporci!$A$1:$AA$29,MATCH(L$2,[1]resultados_proyectados_proporci!$A$1:$AA$1,0),FALSE)</f>
        <v>4.6879642406291701E-2</v>
      </c>
    </row>
    <row r="5" spans="1:12"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2</v>
      </c>
      <c r="K5" s="6">
        <f>VLOOKUP($A$1,[2]resultados_integracion_partido_!$A$1:$AA$29,MATCH(K$2,[2]resultados_integracion_partido_!$A$1:$AA$1,0),FALSE)</f>
        <v>0</v>
      </c>
      <c r="L5" s="6">
        <f>VLOOKUP($A$1,[2]resultados_integracion_partido_!$A$1:$AA$29,MATCH(L$2,[2]resultados_integracion_partido_!$A$1:$AA$1,0),FALSE)</f>
        <v>0</v>
      </c>
    </row>
    <row r="6" spans="1:12" x14ac:dyDescent="0.35">
      <c r="B6" s="1"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2</v>
      </c>
      <c r="H6" s="6">
        <f>VLOOKUP($A$1,[3]resultados_integracion_partido_!$A$1:$AA$29,MATCH(H$2,[3]resultados_integracion_partido_!$A$1:$AA$1,0),FALSE)</f>
        <v>0</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c r="L6" s="6">
        <f>VLOOKUP($A$1,[3]resultados_integracion_partido_!$A$1:$AA$29,MATCH(L$2,[3]resultados_integracion_partido_!$A$1:$AA$1,0),FALSE)</f>
        <v>1</v>
      </c>
    </row>
    <row r="7" spans="1:12"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2</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0</v>
      </c>
      <c r="L7" s="6">
        <f>VLOOKUP($A$1,[4]resultados_integracion_partido_!$A$1:$AA$29,MATCH(L$2,[4]resultados_integracion_partido_!$A$1:$AA$1,0),FALSE)</f>
        <v>1</v>
      </c>
    </row>
    <row r="8" spans="1:12" x14ac:dyDescent="0.35">
      <c r="B8" s="1"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2</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2</v>
      </c>
      <c r="K8" s="6">
        <f>VLOOKUP($A$1,[5]resultados_integracion_partido_!$A$1:$AA$29,MATCH(K$2,[5]resultados_integracion_partido_!$A$1:$AA$1,0),FALSE)</f>
        <v>0</v>
      </c>
      <c r="L8" s="6">
        <f>VLOOKUP($A$1,[5]resultados_integracion_partido_!$A$1:$AA$29,MATCH(L$2,[5]resultados_integracion_partido_!$A$1:$AA$1,0),FALSE)</f>
        <v>1</v>
      </c>
    </row>
    <row r="9" spans="1:12"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0</v>
      </c>
      <c r="L9" s="6">
        <f>VLOOKUP($A$1,[6]resultados_integracion_partido_!$A$1:$AA$29,MATCH(L$2,[6]resultados_integracion_partido_!$A$1:$AA$1,0),FALSE)</f>
        <v>1</v>
      </c>
    </row>
    <row r="10" spans="1:12"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0</v>
      </c>
      <c r="L10" s="6">
        <f>VLOOKUP($A$1,[7]resultados_integracion_partido_!$A$1:$AA$29,MATCH(L$2,[7]resultados_integracion_partido_!$A$1:$AA$1,0),FALSE)</f>
        <v>1</v>
      </c>
    </row>
    <row r="11" spans="1:12"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2</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0</v>
      </c>
      <c r="L11" s="6">
        <f>VLOOKUP($A$1,[8]resultados_integracion_partido_!$A$1:$AA$29,MATCH(L$2,[8]resultados_integracion_partido_!$A$1:$AA$1,0),FALSE)</f>
        <v>1</v>
      </c>
    </row>
    <row r="12" spans="1:12"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2</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0</v>
      </c>
      <c r="L12" s="6">
        <f>VLOOKUP($A$1,[9]resultados_integracion_partido_!$A$1:$AA$29,MATCH(L$2,[9]resultados_integracion_partido_!$A$1:$AA$1,0),FALSE)</f>
        <v>1</v>
      </c>
    </row>
    <row r="13" spans="1:12" ht="15" thickBot="1" x14ac:dyDescent="0.4"/>
    <row r="14" spans="1:12" ht="14.5" customHeight="1" x14ac:dyDescent="0.35">
      <c r="B14" s="34" t="s">
        <v>73</v>
      </c>
      <c r="C14" s="35"/>
      <c r="D14" s="35"/>
      <c r="E14" s="35"/>
      <c r="F14" s="35"/>
      <c r="G14" s="35"/>
      <c r="H14" s="35"/>
      <c r="I14" s="35"/>
      <c r="J14" s="35"/>
      <c r="K14" s="35"/>
      <c r="L14" s="36"/>
    </row>
    <row r="15" spans="1:12" x14ac:dyDescent="0.35">
      <c r="B15" s="37"/>
      <c r="C15" s="38"/>
      <c r="D15" s="38"/>
      <c r="E15" s="38"/>
      <c r="F15" s="38"/>
      <c r="G15" s="38"/>
      <c r="H15" s="38"/>
      <c r="I15" s="38"/>
      <c r="J15" s="38"/>
      <c r="K15" s="38"/>
      <c r="L15" s="39"/>
    </row>
    <row r="16" spans="1:12" x14ac:dyDescent="0.35">
      <c r="B16" s="37"/>
      <c r="C16" s="38"/>
      <c r="D16" s="38"/>
      <c r="E16" s="38"/>
      <c r="F16" s="38"/>
      <c r="G16" s="38"/>
      <c r="H16" s="38"/>
      <c r="I16" s="38"/>
      <c r="J16" s="38"/>
      <c r="K16" s="38"/>
      <c r="L16" s="39"/>
    </row>
    <row r="17" spans="2:12" x14ac:dyDescent="0.35">
      <c r="B17" s="37"/>
      <c r="C17" s="38"/>
      <c r="D17" s="38"/>
      <c r="E17" s="38"/>
      <c r="F17" s="38"/>
      <c r="G17" s="38"/>
      <c r="H17" s="38"/>
      <c r="I17" s="38"/>
      <c r="J17" s="38"/>
      <c r="K17" s="38"/>
      <c r="L17" s="39"/>
    </row>
    <row r="18" spans="2:12" x14ac:dyDescent="0.35">
      <c r="B18" s="37"/>
      <c r="C18" s="38"/>
      <c r="D18" s="38"/>
      <c r="E18" s="38"/>
      <c r="F18" s="38"/>
      <c r="G18" s="38"/>
      <c r="H18" s="38"/>
      <c r="I18" s="38"/>
      <c r="J18" s="38"/>
      <c r="K18" s="38"/>
      <c r="L18" s="39"/>
    </row>
    <row r="19" spans="2:12" x14ac:dyDescent="0.35">
      <c r="B19" s="37"/>
      <c r="C19" s="38"/>
      <c r="D19" s="38"/>
      <c r="E19" s="38"/>
      <c r="F19" s="38"/>
      <c r="G19" s="38"/>
      <c r="H19" s="38"/>
      <c r="I19" s="38"/>
      <c r="J19" s="38"/>
      <c r="K19" s="38"/>
      <c r="L19" s="39"/>
    </row>
    <row r="20" spans="2:12" x14ac:dyDescent="0.35">
      <c r="B20" s="37"/>
      <c r="C20" s="38"/>
      <c r="D20" s="38"/>
      <c r="E20" s="38"/>
      <c r="F20" s="38"/>
      <c r="G20" s="38"/>
      <c r="H20" s="38"/>
      <c r="I20" s="38"/>
      <c r="J20" s="38"/>
      <c r="K20" s="38"/>
      <c r="L20" s="39"/>
    </row>
    <row r="21" spans="2:12" x14ac:dyDescent="0.35">
      <c r="B21" s="37"/>
      <c r="C21" s="38"/>
      <c r="D21" s="38"/>
      <c r="E21" s="38"/>
      <c r="F21" s="38"/>
      <c r="G21" s="38"/>
      <c r="H21" s="38"/>
      <c r="I21" s="38"/>
      <c r="J21" s="38"/>
      <c r="K21" s="38"/>
      <c r="L21" s="39"/>
    </row>
    <row r="22" spans="2:12" x14ac:dyDescent="0.35">
      <c r="B22" s="37"/>
      <c r="C22" s="38"/>
      <c r="D22" s="38"/>
      <c r="E22" s="38"/>
      <c r="F22" s="38"/>
      <c r="G22" s="38"/>
      <c r="H22" s="38"/>
      <c r="I22" s="38"/>
      <c r="J22" s="38"/>
      <c r="K22" s="38"/>
      <c r="L22" s="39"/>
    </row>
    <row r="23" spans="2:12" ht="54" customHeight="1" thickBot="1" x14ac:dyDescent="0.4">
      <c r="B23" s="40"/>
      <c r="C23" s="41"/>
      <c r="D23" s="41"/>
      <c r="E23" s="41"/>
      <c r="F23" s="41"/>
      <c r="G23" s="41"/>
      <c r="H23" s="41"/>
      <c r="I23" s="41"/>
      <c r="J23" s="41"/>
      <c r="K23" s="41"/>
      <c r="L23" s="42"/>
    </row>
  </sheetData>
  <mergeCells count="1">
    <mergeCell ref="B14:L23"/>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3"/>
  <sheetViews>
    <sheetView showGridLines="0" zoomScaleNormal="100" workbookViewId="0">
      <selection activeCell="L3" sqref="L3:L12"/>
    </sheetView>
  </sheetViews>
  <sheetFormatPr baseColWidth="10" defaultRowHeight="14.5" x14ac:dyDescent="0.35"/>
  <cols>
    <col min="1" max="1" width="1.90625" bestFit="1" customWidth="1"/>
    <col min="2" max="2" width="19.36328125" bestFit="1" customWidth="1"/>
    <col min="3" max="3" width="6.90625" bestFit="1" customWidth="1"/>
    <col min="4" max="8" width="5.90625" bestFit="1" customWidth="1"/>
    <col min="9" max="9" width="6.08984375" bestFit="1" customWidth="1"/>
    <col min="10" max="10" width="6.90625" bestFit="1" customWidth="1"/>
    <col min="11" max="11" width="5.90625" bestFit="1" customWidth="1"/>
    <col min="13" max="13" width="16.26953125" customWidth="1"/>
    <col min="14" max="14" width="46.6328125" customWidth="1"/>
  </cols>
  <sheetData>
    <row r="1" spans="1:11" x14ac:dyDescent="0.35">
      <c r="A1" s="30">
        <v>7</v>
      </c>
    </row>
    <row r="2" spans="1:11" x14ac:dyDescent="0.35">
      <c r="B2" s="2" t="s">
        <v>0</v>
      </c>
      <c r="C2" s="2" t="s">
        <v>11</v>
      </c>
      <c r="D2" s="2" t="s">
        <v>21</v>
      </c>
      <c r="E2" s="2" t="s">
        <v>62</v>
      </c>
      <c r="F2" s="2" t="s">
        <v>22</v>
      </c>
      <c r="G2" s="2" t="s">
        <v>15</v>
      </c>
      <c r="H2" s="2" t="s">
        <v>23</v>
      </c>
      <c r="I2" s="2" t="s">
        <v>17</v>
      </c>
      <c r="J2" s="2" t="s">
        <v>60</v>
      </c>
      <c r="K2" s="2" t="s">
        <v>20</v>
      </c>
    </row>
    <row r="3" spans="1:11" x14ac:dyDescent="0.35">
      <c r="B3" s="1" t="s">
        <v>1</v>
      </c>
      <c r="C3" s="5">
        <v>2</v>
      </c>
      <c r="D3" s="5">
        <v>1</v>
      </c>
      <c r="E3" s="5">
        <v>1</v>
      </c>
      <c r="F3" s="5">
        <v>1</v>
      </c>
      <c r="G3" s="5">
        <v>1</v>
      </c>
      <c r="H3" s="5">
        <v>0</v>
      </c>
      <c r="I3" s="5">
        <v>1</v>
      </c>
      <c r="J3" s="5">
        <v>1</v>
      </c>
      <c r="K3" s="5">
        <v>0</v>
      </c>
    </row>
    <row r="4" spans="1:11" x14ac:dyDescent="0.35">
      <c r="B4" s="7" t="s">
        <v>29</v>
      </c>
      <c r="C4" s="8">
        <f>VLOOKUP($A$1,[1]resultados_proyectados_proporci!$A$1:$AA$29,MATCH(C$2,[1]resultados_proyectados_proporci!$A$1:$AA$1,0),FALSE)</f>
        <v>0.106385424878759</v>
      </c>
      <c r="D4" s="8">
        <f>VLOOKUP($A$1,[1]resultados_proyectados_proporci!$A$1:$AA$29,MATCH(D$2,[1]resultados_proyectados_proporci!$A$1:$AA$1,0),FALSE)</f>
        <v>3.22538163835734E-2</v>
      </c>
      <c r="E4" s="8">
        <f>VLOOKUP($A$1,[1]resultados_proyectados_proporci!$A$1:$AA$29,MATCH(E$2,[1]resultados_proyectados_proporci!$A$1:$AA$1,0),FALSE)</f>
        <v>1.7617477722831398E-2</v>
      </c>
      <c r="F4" s="8">
        <f>VLOOKUP($A$1,[1]resultados_proyectados_proporci!$A$1:$AA$29,MATCH(F$2,[1]resultados_proyectados_proporci!$A$1:$AA$1,0),FALSE)</f>
        <v>3.3905193626221297E-2</v>
      </c>
      <c r="G4" s="8">
        <f>VLOOKUP($A$1,[1]resultados_proyectados_proporci!$A$1:$AA$29,MATCH(G$2,[1]resultados_proyectados_proporci!$A$1:$AA$1,0),FALSE)</f>
        <v>8.1187737404142493E-2</v>
      </c>
      <c r="H4" s="8">
        <f>VLOOKUP($A$1,[1]resultados_proyectados_proporci!$A$1:$AA$29,MATCH(H$2,[1]resultados_proyectados_proporci!$A$1:$AA$1,0),FALSE)</f>
        <v>6.8755524498913007E-2</v>
      </c>
      <c r="I4" s="8">
        <f>VLOOKUP($A$1,[1]resultados_proyectados_proporci!$A$1:$AA$29,MATCH(I$2,[1]resultados_proyectados_proporci!$A$1:$AA$1,0),FALSE)</f>
        <v>6.2897465300174399E-2</v>
      </c>
      <c r="J4" s="8">
        <f>VLOOKUP($A$1,[1]resultados_proyectados_proporci!$A$1:$AA$29,MATCH(J$2,[1]resultados_proyectados_proporci!$A$1:$AA$1,0),FALSE)</f>
        <v>0.15184368952913299</v>
      </c>
      <c r="K4" s="8">
        <f>VLOOKUP($A$1,[1]resultados_proyectados_proporci!$A$1:$AA$29,MATCH(K$2,[1]resultados_proyectados_proporci!$A$1:$AA$1,0),FALSE)</f>
        <v>4.3716405074177601E-2</v>
      </c>
    </row>
    <row r="5" spans="1:11" x14ac:dyDescent="0.35">
      <c r="B5" s="1" t="s">
        <v>2</v>
      </c>
      <c r="C5" s="6">
        <f>VLOOKUP($A$1,[2]resultados_integracion_partido_!$A$1:$AA$29,MATCH(C$2,[2]resultados_integracion_partido_!$A$1:$AA$1,0),FALSE)</f>
        <v>2</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3</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ht="15" thickBot="1" x14ac:dyDescent="0.4"/>
    <row r="14" spans="1:11" ht="14.5" customHeight="1" x14ac:dyDescent="0.35">
      <c r="B14" s="34" t="s">
        <v>72</v>
      </c>
      <c r="C14" s="35"/>
      <c r="D14" s="35"/>
      <c r="E14" s="35"/>
      <c r="F14" s="35"/>
      <c r="G14" s="35"/>
      <c r="H14" s="35"/>
      <c r="I14" s="35"/>
      <c r="J14" s="35"/>
      <c r="K14" s="36"/>
    </row>
    <row r="15" spans="1:11" x14ac:dyDescent="0.35">
      <c r="B15" s="37"/>
      <c r="C15" s="38"/>
      <c r="D15" s="38"/>
      <c r="E15" s="38"/>
      <c r="F15" s="38"/>
      <c r="G15" s="38"/>
      <c r="H15" s="38"/>
      <c r="I15" s="38"/>
      <c r="J15" s="38"/>
      <c r="K15" s="39"/>
    </row>
    <row r="16" spans="1:11" x14ac:dyDescent="0.35">
      <c r="B16" s="37"/>
      <c r="C16" s="38"/>
      <c r="D16" s="38"/>
      <c r="E16" s="38"/>
      <c r="F16" s="38"/>
      <c r="G16" s="38"/>
      <c r="H16" s="38"/>
      <c r="I16" s="38"/>
      <c r="J16" s="38"/>
      <c r="K16" s="39"/>
    </row>
    <row r="17" spans="2:11" x14ac:dyDescent="0.35">
      <c r="B17" s="37"/>
      <c r="C17" s="38"/>
      <c r="D17" s="38"/>
      <c r="E17" s="38"/>
      <c r="F17" s="38"/>
      <c r="G17" s="38"/>
      <c r="H17" s="38"/>
      <c r="I17" s="38"/>
      <c r="J17" s="38"/>
      <c r="K17" s="39"/>
    </row>
    <row r="18" spans="2:11" x14ac:dyDescent="0.35">
      <c r="B18" s="37"/>
      <c r="C18" s="38"/>
      <c r="D18" s="38"/>
      <c r="E18" s="38"/>
      <c r="F18" s="38"/>
      <c r="G18" s="38"/>
      <c r="H18" s="38"/>
      <c r="I18" s="38"/>
      <c r="J18" s="38"/>
      <c r="K18" s="39"/>
    </row>
    <row r="19" spans="2:11" x14ac:dyDescent="0.35">
      <c r="B19" s="37"/>
      <c r="C19" s="38"/>
      <c r="D19" s="38"/>
      <c r="E19" s="38"/>
      <c r="F19" s="38"/>
      <c r="G19" s="38"/>
      <c r="H19" s="38"/>
      <c r="I19" s="38"/>
      <c r="J19" s="38"/>
      <c r="K19" s="39"/>
    </row>
    <row r="20" spans="2:11" x14ac:dyDescent="0.35">
      <c r="B20" s="37"/>
      <c r="C20" s="38"/>
      <c r="D20" s="38"/>
      <c r="E20" s="38"/>
      <c r="F20" s="38"/>
      <c r="G20" s="38"/>
      <c r="H20" s="38"/>
      <c r="I20" s="38"/>
      <c r="J20" s="38"/>
      <c r="K20" s="39"/>
    </row>
    <row r="21" spans="2:11" x14ac:dyDescent="0.35">
      <c r="B21" s="37"/>
      <c r="C21" s="38"/>
      <c r="D21" s="38"/>
      <c r="E21" s="38"/>
      <c r="F21" s="38"/>
      <c r="G21" s="38"/>
      <c r="H21" s="38"/>
      <c r="I21" s="38"/>
      <c r="J21" s="38"/>
      <c r="K21" s="39"/>
    </row>
    <row r="22" spans="2:11" x14ac:dyDescent="0.35">
      <c r="B22" s="37"/>
      <c r="C22" s="38"/>
      <c r="D22" s="38"/>
      <c r="E22" s="38"/>
      <c r="F22" s="38"/>
      <c r="G22" s="38"/>
      <c r="H22" s="38"/>
      <c r="I22" s="38"/>
      <c r="J22" s="38"/>
      <c r="K22" s="39"/>
    </row>
    <row r="23" spans="2:11" ht="67" customHeight="1" thickBot="1" x14ac:dyDescent="0.4">
      <c r="B23" s="40"/>
      <c r="C23" s="41"/>
      <c r="D23" s="41"/>
      <c r="E23" s="41"/>
      <c r="F23" s="41"/>
      <c r="G23" s="41"/>
      <c r="H23" s="41"/>
      <c r="I23" s="41"/>
      <c r="J23" s="41"/>
      <c r="K23" s="42"/>
    </row>
  </sheetData>
  <mergeCells count="1">
    <mergeCell ref="B14:K23"/>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3"/>
  <sheetViews>
    <sheetView showGridLines="0" workbookViewId="0">
      <selection activeCell="L3" sqref="L3:L12"/>
    </sheetView>
  </sheetViews>
  <sheetFormatPr baseColWidth="10" defaultRowHeight="14.5" x14ac:dyDescent="0.35"/>
  <cols>
    <col min="1" max="1" width="1.90625" bestFit="1" customWidth="1"/>
    <col min="2" max="2" width="19.36328125" bestFit="1" customWidth="1"/>
    <col min="3" max="8" width="5.90625" bestFit="1" customWidth="1"/>
    <col min="9" max="9" width="6.08984375" bestFit="1" customWidth="1"/>
    <col min="10" max="10" width="6.08984375" customWidth="1"/>
    <col min="11" max="11" width="5.90625" bestFit="1" customWidth="1"/>
    <col min="13" max="13" width="16.26953125" customWidth="1"/>
    <col min="14" max="14" width="46.08984375" customWidth="1"/>
  </cols>
  <sheetData>
    <row r="1" spans="1:11" x14ac:dyDescent="0.35">
      <c r="A1" s="30">
        <v>9</v>
      </c>
    </row>
    <row r="2" spans="1:11" x14ac:dyDescent="0.35">
      <c r="B2" s="2" t="s">
        <v>0</v>
      </c>
      <c r="C2" s="2" t="s">
        <v>11</v>
      </c>
      <c r="D2" s="2" t="s">
        <v>61</v>
      </c>
      <c r="E2" s="2" t="s">
        <v>14</v>
      </c>
      <c r="F2" s="2" t="s">
        <v>22</v>
      </c>
      <c r="G2" s="2" t="s">
        <v>15</v>
      </c>
      <c r="H2" s="2" t="s">
        <v>23</v>
      </c>
      <c r="I2" s="2" t="s">
        <v>17</v>
      </c>
      <c r="J2" s="2" t="s">
        <v>20</v>
      </c>
      <c r="K2" s="2" t="s">
        <v>60</v>
      </c>
    </row>
    <row r="3" spans="1:11" x14ac:dyDescent="0.35">
      <c r="B3" s="1" t="s">
        <v>1</v>
      </c>
      <c r="C3" s="5">
        <v>2</v>
      </c>
      <c r="D3" s="5">
        <v>1</v>
      </c>
      <c r="E3" s="5">
        <v>0</v>
      </c>
      <c r="F3" s="5">
        <v>0</v>
      </c>
      <c r="G3" s="5">
        <v>1</v>
      </c>
      <c r="H3" s="5">
        <v>0</v>
      </c>
      <c r="I3" s="5">
        <v>2</v>
      </c>
      <c r="J3" s="5">
        <v>0</v>
      </c>
      <c r="K3" s="5">
        <v>1</v>
      </c>
    </row>
    <row r="4" spans="1:11" x14ac:dyDescent="0.35">
      <c r="B4" s="7" t="s">
        <v>29</v>
      </c>
      <c r="C4" s="8">
        <f>VLOOKUP($A$1,[1]resultados_proyectados_proporci!$A$1:$AA$29,MATCH(C$2,[1]resultados_proyectados_proporci!$A$1:$AA$1,0),FALSE)</f>
        <v>7.3330026059404294E-2</v>
      </c>
      <c r="D4" s="8">
        <f>VLOOKUP($A$1,[1]resultados_proyectados_proporci!$A$1:$AA$29,MATCH(D$2,[1]resultados_proyectados_proporci!$A$1:$AA$1,0),FALSE)</f>
        <v>2.92058342013598E-2</v>
      </c>
      <c r="E4" s="8">
        <f>VLOOKUP($A$1,[1]resultados_proyectados_proporci!$A$1:$AA$29,MATCH(E$2,[1]resultados_proyectados_proporci!$A$1:$AA$1,0),FALSE)</f>
        <v>4.2564402779173498E-2</v>
      </c>
      <c r="F4" s="8">
        <f>VLOOKUP($A$1,[1]resultados_proyectados_proporci!$A$1:$AA$29,MATCH(F$2,[1]resultados_proyectados_proporci!$A$1:$AA$1,0),FALSE)</f>
        <v>5.2604797248688301E-2</v>
      </c>
      <c r="G4" s="8">
        <f>VLOOKUP($A$1,[1]resultados_proyectados_proporci!$A$1:$AA$29,MATCH(G$2,[1]resultados_proyectados_proporci!$A$1:$AA$1,0),FALSE)</f>
        <v>9.0234874937722698E-2</v>
      </c>
      <c r="H4" s="8">
        <f>VLOOKUP($A$1,[1]resultados_proyectados_proporci!$A$1:$AA$29,MATCH(H$2,[1]resultados_proyectados_proporci!$A$1:$AA$1,0),FALSE)</f>
        <v>6.3577024123426099E-2</v>
      </c>
      <c r="I4" s="8">
        <f>VLOOKUP($A$1,[1]resultados_proyectados_proporci!$A$1:$AA$29,MATCH(I$2,[1]resultados_proyectados_proporci!$A$1:$AA$1,0),FALSE)</f>
        <v>9.9208381121314707E-2</v>
      </c>
      <c r="J4" s="8">
        <f>VLOOKUP($A$1,[1]resultados_proyectados_proporci!$A$1:$AA$29,MATCH(J$2,[1]resultados_proyectados_proporci!$A$1:$AA$1,0),FALSE)</f>
        <v>2.94376624060258E-2</v>
      </c>
      <c r="K4" s="8">
        <f>VLOOKUP($A$1,[1]resultados_proyectados_proporci!$A$1:$AA$29,MATCH(K$2,[1]resultados_proyectados_proporci!$A$1:$AA$1,0),FALSE)</f>
        <v>9.8662574579824594E-2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1</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ht="15" thickBot="1" x14ac:dyDescent="0.4"/>
    <row r="14" spans="1:11" ht="14.5" customHeight="1" x14ac:dyDescent="0.35">
      <c r="B14" s="34" t="s">
        <v>70</v>
      </c>
      <c r="C14" s="35"/>
      <c r="D14" s="35"/>
      <c r="E14" s="35"/>
      <c r="F14" s="35"/>
      <c r="G14" s="35"/>
      <c r="H14" s="35"/>
      <c r="I14" s="35"/>
      <c r="J14" s="35"/>
      <c r="K14" s="36"/>
    </row>
    <row r="15" spans="1:11" x14ac:dyDescent="0.35">
      <c r="B15" s="37"/>
      <c r="C15" s="38"/>
      <c r="D15" s="38"/>
      <c r="E15" s="38"/>
      <c r="F15" s="38"/>
      <c r="G15" s="38"/>
      <c r="H15" s="38"/>
      <c r="I15" s="38"/>
      <c r="J15" s="38"/>
      <c r="K15" s="39"/>
    </row>
    <row r="16" spans="1:11" x14ac:dyDescent="0.35">
      <c r="B16" s="37"/>
      <c r="C16" s="38"/>
      <c r="D16" s="38"/>
      <c r="E16" s="38"/>
      <c r="F16" s="38"/>
      <c r="G16" s="38"/>
      <c r="H16" s="38"/>
      <c r="I16" s="38"/>
      <c r="J16" s="38"/>
      <c r="K16" s="39"/>
    </row>
    <row r="17" spans="2:11" x14ac:dyDescent="0.35">
      <c r="B17" s="37"/>
      <c r="C17" s="38"/>
      <c r="D17" s="38"/>
      <c r="E17" s="38"/>
      <c r="F17" s="38"/>
      <c r="G17" s="38"/>
      <c r="H17" s="38"/>
      <c r="I17" s="38"/>
      <c r="J17" s="38"/>
      <c r="K17" s="39"/>
    </row>
    <row r="18" spans="2:11" x14ac:dyDescent="0.35">
      <c r="B18" s="37"/>
      <c r="C18" s="38"/>
      <c r="D18" s="38"/>
      <c r="E18" s="38"/>
      <c r="F18" s="38"/>
      <c r="G18" s="38"/>
      <c r="H18" s="38"/>
      <c r="I18" s="38"/>
      <c r="J18" s="38"/>
      <c r="K18" s="39"/>
    </row>
    <row r="19" spans="2:11" x14ac:dyDescent="0.35">
      <c r="B19" s="37"/>
      <c r="C19" s="38"/>
      <c r="D19" s="38"/>
      <c r="E19" s="38"/>
      <c r="F19" s="38"/>
      <c r="G19" s="38"/>
      <c r="H19" s="38"/>
      <c r="I19" s="38"/>
      <c r="J19" s="38"/>
      <c r="K19" s="39"/>
    </row>
    <row r="20" spans="2:11" x14ac:dyDescent="0.35">
      <c r="B20" s="37"/>
      <c r="C20" s="38"/>
      <c r="D20" s="38"/>
      <c r="E20" s="38"/>
      <c r="F20" s="38"/>
      <c r="G20" s="38"/>
      <c r="H20" s="38"/>
      <c r="I20" s="38"/>
      <c r="J20" s="38"/>
      <c r="K20" s="39"/>
    </row>
    <row r="21" spans="2:11" x14ac:dyDescent="0.35">
      <c r="B21" s="37"/>
      <c r="C21" s="38"/>
      <c r="D21" s="38"/>
      <c r="E21" s="38"/>
      <c r="F21" s="38"/>
      <c r="G21" s="38"/>
      <c r="H21" s="38"/>
      <c r="I21" s="38"/>
      <c r="J21" s="38"/>
      <c r="K21" s="39"/>
    </row>
    <row r="22" spans="2:11" x14ac:dyDescent="0.35">
      <c r="B22" s="37"/>
      <c r="C22" s="38"/>
      <c r="D22" s="38"/>
      <c r="E22" s="38"/>
      <c r="F22" s="38"/>
      <c r="G22" s="38"/>
      <c r="H22" s="38"/>
      <c r="I22" s="38"/>
      <c r="J22" s="38"/>
      <c r="K22" s="39"/>
    </row>
    <row r="23" spans="2:11" ht="61.5" customHeight="1" thickBot="1" x14ac:dyDescent="0.4">
      <c r="B23" s="40"/>
      <c r="C23" s="41"/>
      <c r="D23" s="41"/>
      <c r="E23" s="41"/>
      <c r="F23" s="41"/>
      <c r="G23" s="41"/>
      <c r="H23" s="41"/>
      <c r="I23" s="41"/>
      <c r="J23" s="41"/>
      <c r="K23" s="42"/>
    </row>
  </sheetData>
  <mergeCells count="1">
    <mergeCell ref="B14:K23"/>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3"/>
  <sheetViews>
    <sheetView showGridLines="0" workbookViewId="0">
      <selection activeCell="K3" sqref="K3:K12"/>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5.90625" bestFit="1" customWidth="1"/>
    <col min="12" max="12" width="16.26953125" customWidth="1"/>
    <col min="13" max="13" width="47.6328125" customWidth="1"/>
  </cols>
  <sheetData>
    <row r="1" spans="1:10" x14ac:dyDescent="0.35">
      <c r="A1" s="30">
        <v>8</v>
      </c>
    </row>
    <row r="2" spans="1:10" x14ac:dyDescent="0.35">
      <c r="B2" s="2" t="s">
        <v>0</v>
      </c>
      <c r="C2" s="2" t="s">
        <v>11</v>
      </c>
      <c r="D2" s="2" t="s">
        <v>16</v>
      </c>
      <c r="E2" s="2" t="s">
        <v>22</v>
      </c>
      <c r="F2" s="2" t="s">
        <v>15</v>
      </c>
      <c r="G2" s="2" t="s">
        <v>23</v>
      </c>
      <c r="H2" s="2" t="s">
        <v>17</v>
      </c>
      <c r="I2" s="2" t="s">
        <v>60</v>
      </c>
      <c r="J2" s="2" t="s">
        <v>20</v>
      </c>
    </row>
    <row r="3" spans="1:10" x14ac:dyDescent="0.35">
      <c r="B3" s="1" t="s">
        <v>1</v>
      </c>
      <c r="C3" s="5">
        <v>1</v>
      </c>
      <c r="D3" s="5">
        <v>1</v>
      </c>
      <c r="E3" s="5">
        <v>0</v>
      </c>
      <c r="F3" s="5">
        <v>1</v>
      </c>
      <c r="G3" s="5">
        <v>2</v>
      </c>
      <c r="H3" s="5">
        <v>1</v>
      </c>
      <c r="I3" s="5">
        <v>1</v>
      </c>
      <c r="J3" s="5">
        <v>1</v>
      </c>
    </row>
    <row r="4" spans="1:10" x14ac:dyDescent="0.35">
      <c r="B4" s="7" t="s">
        <v>28</v>
      </c>
      <c r="C4" s="8">
        <f>VLOOKUP($A$1,[1]resultados_proyectados_proporci!$A$1:$AA$29,MATCH(C$2,[1]resultados_proyectados_proporci!$A$1:$AA$1,0),FALSE)</f>
        <v>0.137430792931168</v>
      </c>
      <c r="D4" s="8">
        <f>VLOOKUP($A$1,[1]resultados_proyectados_proporci!$A$1:$AA$29,MATCH(D$2,[1]resultados_proyectados_proporci!$A$1:$AA$1,0),FALSE)</f>
        <v>2.7083279187661801E-2</v>
      </c>
      <c r="E4" s="8">
        <f>VLOOKUP($A$1,[1]resultados_proyectados_proporci!$A$1:$AA$29,MATCH(E$2,[1]resultados_proyectados_proporci!$A$1:$AA$1,0),FALSE)</f>
        <v>3.67525983691857E-2</v>
      </c>
      <c r="F4" s="8">
        <f>VLOOKUP($A$1,[1]resultados_proyectados_proporci!$A$1:$AA$29,MATCH(F$2,[1]resultados_proyectados_proporci!$A$1:$AA$1,0),FALSE)</f>
        <v>7.6131068958384396E-2</v>
      </c>
      <c r="G4" s="8">
        <f>VLOOKUP($A$1,[1]resultados_proyectados_proporci!$A$1:$AA$29,MATCH(G$2,[1]resultados_proyectados_proporci!$A$1:$AA$1,0),FALSE)</f>
        <v>5.5893286091012399E-2</v>
      </c>
      <c r="H4" s="8">
        <f>VLOOKUP($A$1,[1]resultados_proyectados_proporci!$A$1:$AA$29,MATCH(H$2,[1]resultados_proyectados_proporci!$A$1:$AA$1,0),FALSE)</f>
        <v>7.1385771977238499E-2</v>
      </c>
      <c r="I4" s="8">
        <f>VLOOKUP($A$1,[1]resultados_proyectados_proporci!$A$1:$AA$29,MATCH(I$2,[1]resultados_proyectados_proporci!$A$1:$AA$1,0),FALSE)</f>
        <v>0.13611776781457799</v>
      </c>
      <c r="J4" s="8">
        <f>VLOOKUP($A$1,[1]resultados_proyectados_proporci!$A$1:$AA$29,MATCH(J$2,[1]resultados_proyectados_proporci!$A$1:$AA$1,0),FALSE)</f>
        <v>3.9819587215948797E-2</v>
      </c>
    </row>
    <row r="5" spans="1:10"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row>
    <row r="6" spans="1:10"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3</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1</v>
      </c>
    </row>
    <row r="13" spans="1:10" ht="15" thickBot="1" x14ac:dyDescent="0.4"/>
    <row r="14" spans="1:10" ht="14.5" customHeight="1" x14ac:dyDescent="0.35">
      <c r="B14" s="34" t="s">
        <v>71</v>
      </c>
      <c r="C14" s="35"/>
      <c r="D14" s="35"/>
      <c r="E14" s="35"/>
      <c r="F14" s="35"/>
      <c r="G14" s="35"/>
      <c r="H14" s="35"/>
      <c r="I14" s="35"/>
      <c r="J14" s="36"/>
    </row>
    <row r="15" spans="1:10" x14ac:dyDescent="0.35">
      <c r="B15" s="37"/>
      <c r="C15" s="38"/>
      <c r="D15" s="38"/>
      <c r="E15" s="38"/>
      <c r="F15" s="38"/>
      <c r="G15" s="38"/>
      <c r="H15" s="38"/>
      <c r="I15" s="38"/>
      <c r="J15" s="39"/>
    </row>
    <row r="16" spans="1:10" x14ac:dyDescent="0.35">
      <c r="B16" s="37"/>
      <c r="C16" s="38"/>
      <c r="D16" s="38"/>
      <c r="E16" s="38"/>
      <c r="F16" s="38"/>
      <c r="G16" s="38"/>
      <c r="H16" s="38"/>
      <c r="I16" s="38"/>
      <c r="J16" s="39"/>
    </row>
    <row r="17" spans="2:10" x14ac:dyDescent="0.35">
      <c r="B17" s="37"/>
      <c r="C17" s="38"/>
      <c r="D17" s="38"/>
      <c r="E17" s="38"/>
      <c r="F17" s="38"/>
      <c r="G17" s="38"/>
      <c r="H17" s="38"/>
      <c r="I17" s="38"/>
      <c r="J17" s="39"/>
    </row>
    <row r="18" spans="2:10" x14ac:dyDescent="0.35">
      <c r="B18" s="37"/>
      <c r="C18" s="38"/>
      <c r="D18" s="38"/>
      <c r="E18" s="38"/>
      <c r="F18" s="38"/>
      <c r="G18" s="38"/>
      <c r="H18" s="38"/>
      <c r="I18" s="38"/>
      <c r="J18" s="39"/>
    </row>
    <row r="19" spans="2:10" x14ac:dyDescent="0.35">
      <c r="B19" s="37"/>
      <c r="C19" s="38"/>
      <c r="D19" s="38"/>
      <c r="E19" s="38"/>
      <c r="F19" s="38"/>
      <c r="G19" s="38"/>
      <c r="H19" s="38"/>
      <c r="I19" s="38"/>
      <c r="J19" s="39"/>
    </row>
    <row r="20" spans="2:10" x14ac:dyDescent="0.35">
      <c r="B20" s="37"/>
      <c r="C20" s="38"/>
      <c r="D20" s="38"/>
      <c r="E20" s="38"/>
      <c r="F20" s="38"/>
      <c r="G20" s="38"/>
      <c r="H20" s="38"/>
      <c r="I20" s="38"/>
      <c r="J20" s="39"/>
    </row>
    <row r="21" spans="2:10" x14ac:dyDescent="0.35">
      <c r="B21" s="37"/>
      <c r="C21" s="38"/>
      <c r="D21" s="38"/>
      <c r="E21" s="38"/>
      <c r="F21" s="38"/>
      <c r="G21" s="38"/>
      <c r="H21" s="38"/>
      <c r="I21" s="38"/>
      <c r="J21" s="39"/>
    </row>
    <row r="22" spans="2:10" x14ac:dyDescent="0.35">
      <c r="B22" s="37"/>
      <c r="C22" s="38"/>
      <c r="D22" s="38"/>
      <c r="E22" s="38"/>
      <c r="F22" s="38"/>
      <c r="G22" s="38"/>
      <c r="H22" s="38"/>
      <c r="I22" s="38"/>
      <c r="J22" s="39"/>
    </row>
    <row r="23" spans="2:10" ht="79.5" customHeight="1" thickBot="1" x14ac:dyDescent="0.4">
      <c r="B23" s="40"/>
      <c r="C23" s="41"/>
      <c r="D23" s="41"/>
      <c r="E23" s="41"/>
      <c r="F23" s="41"/>
      <c r="G23" s="41"/>
      <c r="H23" s="41"/>
      <c r="I23" s="41"/>
      <c r="J23" s="42"/>
    </row>
  </sheetData>
  <mergeCells count="1">
    <mergeCell ref="B14:J23"/>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3"/>
  <sheetViews>
    <sheetView showGridLines="0" zoomScaleNormal="100" workbookViewId="0">
      <selection activeCell="L3" sqref="L3:L12"/>
    </sheetView>
  </sheetViews>
  <sheetFormatPr baseColWidth="10" defaultRowHeight="14.5" x14ac:dyDescent="0.35"/>
  <cols>
    <col min="1" max="1" width="2.81640625" bestFit="1" customWidth="1"/>
    <col min="2" max="2" width="19.36328125" bestFit="1" customWidth="1"/>
    <col min="3" max="3" width="6.90625" bestFit="1" customWidth="1"/>
    <col min="4" max="8" width="5.90625" bestFit="1" customWidth="1"/>
    <col min="9" max="9" width="6.08984375" bestFit="1" customWidth="1"/>
    <col min="10" max="10" width="6.08984375" customWidth="1"/>
    <col min="11" max="11" width="6.90625" bestFit="1" customWidth="1"/>
    <col min="13" max="13" width="16.26953125" customWidth="1"/>
    <col min="14" max="14" width="45.81640625" customWidth="1"/>
  </cols>
  <sheetData>
    <row r="1" spans="1:11" x14ac:dyDescent="0.35">
      <c r="A1" s="30">
        <v>10</v>
      </c>
    </row>
    <row r="2" spans="1:11" x14ac:dyDescent="0.35">
      <c r="B2" s="2" t="s">
        <v>0</v>
      </c>
      <c r="C2" s="2" t="s">
        <v>11</v>
      </c>
      <c r="D2" s="2" t="s">
        <v>25</v>
      </c>
      <c r="E2" s="2" t="s">
        <v>14</v>
      </c>
      <c r="F2" s="2" t="s">
        <v>22</v>
      </c>
      <c r="G2" s="2" t="s">
        <v>15</v>
      </c>
      <c r="H2" s="2" t="s">
        <v>23</v>
      </c>
      <c r="I2" s="2" t="s">
        <v>17</v>
      </c>
      <c r="J2" s="2" t="s">
        <v>20</v>
      </c>
      <c r="K2" s="2" t="s">
        <v>60</v>
      </c>
    </row>
    <row r="3" spans="1:11" x14ac:dyDescent="0.35">
      <c r="B3" s="1" t="s">
        <v>1</v>
      </c>
      <c r="C3" s="5">
        <v>3</v>
      </c>
      <c r="D3" s="5">
        <v>2</v>
      </c>
      <c r="E3" s="5">
        <v>1</v>
      </c>
      <c r="F3" s="5">
        <v>0</v>
      </c>
      <c r="G3" s="5">
        <v>0</v>
      </c>
      <c r="H3" s="5">
        <v>1</v>
      </c>
      <c r="I3" s="5">
        <v>1</v>
      </c>
      <c r="J3" s="5">
        <v>0</v>
      </c>
      <c r="K3" s="5">
        <v>0</v>
      </c>
    </row>
    <row r="4" spans="1:11" x14ac:dyDescent="0.35">
      <c r="B4" s="7" t="s">
        <v>29</v>
      </c>
      <c r="C4" s="8">
        <f>VLOOKUP($A$1,[1]resultados_proyectados_proporci!$A$1:$AA$29,MATCH(C$2,[1]resultados_proyectados_proporci!$A$1:$AA$1,0),FALSE)</f>
        <v>0.16288281447476899</v>
      </c>
      <c r="D4" s="8">
        <f>VLOOKUP($A$1,[1]resultados_proyectados_proporci!$A$1:$AA$29,MATCH(D$2,[1]resultados_proyectados_proporci!$A$1:$AA$1,0),FALSE)</f>
        <v>2.9646054019570999E-3</v>
      </c>
      <c r="E4" s="8">
        <f>VLOOKUP($A$1,[1]resultados_proyectados_proporci!$A$1:$AA$29,MATCH(E$2,[1]resultados_proyectados_proporci!$A$1:$AA$1,0),FALSE)</f>
        <v>2.28473206831281E-2</v>
      </c>
      <c r="F4" s="8">
        <f>VLOOKUP($A$1,[1]resultados_proyectados_proporci!$A$1:$AA$29,MATCH(F$2,[1]resultados_proyectados_proporci!$A$1:$AA$1,0),FALSE)</f>
        <v>4.7485625584697301E-2</v>
      </c>
      <c r="G4" s="8">
        <f>VLOOKUP($A$1,[1]resultados_proyectados_proporci!$A$1:$AA$29,MATCH(G$2,[1]resultados_proyectados_proporci!$A$1:$AA$1,0),FALSE)</f>
        <v>9.5787612450813103E-2</v>
      </c>
      <c r="H4" s="8">
        <f>VLOOKUP($A$1,[1]resultados_proyectados_proporci!$A$1:$AA$29,MATCH(H$2,[1]resultados_proyectados_proporci!$A$1:$AA$1,0),FALSE)</f>
        <v>7.72769055507882E-2</v>
      </c>
      <c r="I4" s="8">
        <f>VLOOKUP($A$1,[1]resultados_proyectados_proporci!$A$1:$AA$29,MATCH(I$2,[1]resultados_proyectados_proporci!$A$1:$AA$1,0),FALSE)</f>
        <v>9.9070370627614396E-2</v>
      </c>
      <c r="J4" s="8">
        <f>VLOOKUP($A$1,[1]resultados_proyectados_proporci!$A$1:$AA$29,MATCH(J$2,[1]resultados_proyectados_proporci!$A$1:$AA$1,0),FALSE)</f>
        <v>3.4757274078431301E-2</v>
      </c>
      <c r="K4" s="8">
        <f>VLOOKUP($A$1,[1]resultados_proyectados_proporci!$A$1:$AA$29,MATCH(K$2,[1]resultados_proyectados_proporci!$A$1:$AA$1,0),FALSE)</f>
        <v>0.11048659654134101</v>
      </c>
    </row>
    <row r="5" spans="1:11" x14ac:dyDescent="0.35">
      <c r="B5" s="1" t="s">
        <v>2</v>
      </c>
      <c r="C5" s="6">
        <f>VLOOKUP($A$1,[2]resultados_integracion_partido_!$A$1:$AA$29,MATCH(C$2,[2]resultados_integracion_partido_!$A$1:$AA$1,0),FALSE)</f>
        <v>2</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2</v>
      </c>
    </row>
    <row r="6" spans="1:11"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2</v>
      </c>
    </row>
    <row r="7" spans="1:11"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2</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2</v>
      </c>
    </row>
    <row r="9" spans="1:11"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2</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ht="15" thickBot="1" x14ac:dyDescent="0.4"/>
    <row r="14" spans="1:11" ht="14.5" customHeight="1" x14ac:dyDescent="0.35">
      <c r="B14" s="34" t="s">
        <v>70</v>
      </c>
      <c r="C14" s="35"/>
      <c r="D14" s="35"/>
      <c r="E14" s="35"/>
      <c r="F14" s="35"/>
      <c r="G14" s="35"/>
      <c r="H14" s="35"/>
      <c r="I14" s="35"/>
      <c r="J14" s="35"/>
      <c r="K14" s="36"/>
    </row>
    <row r="15" spans="1:11" x14ac:dyDescent="0.35">
      <c r="B15" s="37"/>
      <c r="C15" s="38"/>
      <c r="D15" s="38"/>
      <c r="E15" s="38"/>
      <c r="F15" s="38"/>
      <c r="G15" s="38"/>
      <c r="H15" s="38"/>
      <c r="I15" s="38"/>
      <c r="J15" s="38"/>
      <c r="K15" s="39"/>
    </row>
    <row r="16" spans="1:11" x14ac:dyDescent="0.35">
      <c r="B16" s="37"/>
      <c r="C16" s="38"/>
      <c r="D16" s="38"/>
      <c r="E16" s="38"/>
      <c r="F16" s="38"/>
      <c r="G16" s="38"/>
      <c r="H16" s="38"/>
      <c r="I16" s="38"/>
      <c r="J16" s="38"/>
      <c r="K16" s="39"/>
    </row>
    <row r="17" spans="2:11" x14ac:dyDescent="0.35">
      <c r="B17" s="37"/>
      <c r="C17" s="38"/>
      <c r="D17" s="38"/>
      <c r="E17" s="38"/>
      <c r="F17" s="38"/>
      <c r="G17" s="38"/>
      <c r="H17" s="38"/>
      <c r="I17" s="38"/>
      <c r="J17" s="38"/>
      <c r="K17" s="39"/>
    </row>
    <row r="18" spans="2:11" x14ac:dyDescent="0.35">
      <c r="B18" s="37"/>
      <c r="C18" s="38"/>
      <c r="D18" s="38"/>
      <c r="E18" s="38"/>
      <c r="F18" s="38"/>
      <c r="G18" s="38"/>
      <c r="H18" s="38"/>
      <c r="I18" s="38"/>
      <c r="J18" s="38"/>
      <c r="K18" s="39"/>
    </row>
    <row r="19" spans="2:11" x14ac:dyDescent="0.35">
      <c r="B19" s="37"/>
      <c r="C19" s="38"/>
      <c r="D19" s="38"/>
      <c r="E19" s="38"/>
      <c r="F19" s="38"/>
      <c r="G19" s="38"/>
      <c r="H19" s="38"/>
      <c r="I19" s="38"/>
      <c r="J19" s="38"/>
      <c r="K19" s="39"/>
    </row>
    <row r="20" spans="2:11" ht="19.5" customHeight="1" x14ac:dyDescent="0.35">
      <c r="B20" s="37"/>
      <c r="C20" s="38"/>
      <c r="D20" s="38"/>
      <c r="E20" s="38"/>
      <c r="F20" s="38"/>
      <c r="G20" s="38"/>
      <c r="H20" s="38"/>
      <c r="I20" s="38"/>
      <c r="J20" s="38"/>
      <c r="K20" s="39"/>
    </row>
    <row r="21" spans="2:11" ht="20.5" customHeight="1" x14ac:dyDescent="0.35">
      <c r="B21" s="37"/>
      <c r="C21" s="38"/>
      <c r="D21" s="38"/>
      <c r="E21" s="38"/>
      <c r="F21" s="38"/>
      <c r="G21" s="38"/>
      <c r="H21" s="38"/>
      <c r="I21" s="38"/>
      <c r="J21" s="38"/>
      <c r="K21" s="39"/>
    </row>
    <row r="22" spans="2:11" ht="20.5" customHeight="1" x14ac:dyDescent="0.35">
      <c r="B22" s="37"/>
      <c r="C22" s="38"/>
      <c r="D22" s="38"/>
      <c r="E22" s="38"/>
      <c r="F22" s="38"/>
      <c r="G22" s="38"/>
      <c r="H22" s="38"/>
      <c r="I22" s="38"/>
      <c r="J22" s="38"/>
      <c r="K22" s="39"/>
    </row>
    <row r="23" spans="2:11" ht="20" customHeight="1" thickBot="1" x14ac:dyDescent="0.4">
      <c r="B23" s="40"/>
      <c r="C23" s="41"/>
      <c r="D23" s="41"/>
      <c r="E23" s="41"/>
      <c r="F23" s="41"/>
      <c r="G23" s="41"/>
      <c r="H23" s="41"/>
      <c r="I23" s="41"/>
      <c r="J23" s="41"/>
      <c r="K23" s="42"/>
    </row>
  </sheetData>
  <mergeCells count="1">
    <mergeCell ref="B14:K23"/>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I23"/>
  <sheetViews>
    <sheetView showGridLines="0" zoomScaleNormal="100" workbookViewId="0">
      <selection activeCell="J3" sqref="J3:J12"/>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6.90625" customWidth="1"/>
    <col min="9" max="9" width="5.90625" bestFit="1" customWidth="1"/>
    <col min="11" max="11" width="16.26953125" customWidth="1"/>
    <col min="12" max="12" width="44.08984375" customWidth="1"/>
  </cols>
  <sheetData>
    <row r="1" spans="1:9" x14ac:dyDescent="0.35">
      <c r="A1" s="30">
        <v>13</v>
      </c>
    </row>
    <row r="2" spans="1:9" x14ac:dyDescent="0.35">
      <c r="B2" s="2" t="s">
        <v>0</v>
      </c>
      <c r="C2" s="2" t="s">
        <v>11</v>
      </c>
      <c r="D2" s="2" t="s">
        <v>22</v>
      </c>
      <c r="E2" s="2" t="s">
        <v>15</v>
      </c>
      <c r="F2" s="2" t="s">
        <v>23</v>
      </c>
      <c r="G2" s="2" t="s">
        <v>17</v>
      </c>
      <c r="H2" s="2" t="s">
        <v>21</v>
      </c>
      <c r="I2" s="2" t="s">
        <v>60</v>
      </c>
    </row>
    <row r="3" spans="1:9" x14ac:dyDescent="0.35">
      <c r="B3" s="1" t="s">
        <v>1</v>
      </c>
      <c r="C3" s="5">
        <v>1</v>
      </c>
      <c r="D3" s="5">
        <v>1</v>
      </c>
      <c r="E3" s="5">
        <v>1</v>
      </c>
      <c r="F3" s="5">
        <v>1</v>
      </c>
      <c r="G3" s="5">
        <v>1</v>
      </c>
      <c r="H3" s="5">
        <v>0</v>
      </c>
      <c r="I3" s="5">
        <v>0</v>
      </c>
    </row>
    <row r="4" spans="1:9" x14ac:dyDescent="0.35">
      <c r="B4" s="7" t="s">
        <v>29</v>
      </c>
      <c r="C4" s="8">
        <f>VLOOKUP($A$1,[1]resultados_proyectados_proporci!$A$1:$AA$29,MATCH(C$2,[1]resultados_proyectados_proporci!$A$1:$AA$1,0),FALSE)</f>
        <v>9.0066017788393002E-2</v>
      </c>
      <c r="D4" s="8">
        <f>VLOOKUP($A$1,[1]resultados_proyectados_proporci!$A$1:$AA$29,MATCH(D$2,[1]resultados_proyectados_proporci!$A$1:$AA$1,0),FALSE)</f>
        <v>8.1391535927221606E-2</v>
      </c>
      <c r="E4" s="8">
        <f>VLOOKUP($A$1,[1]resultados_proyectados_proporci!$A$1:$AA$29,MATCH(E$2,[1]resultados_proyectados_proporci!$A$1:$AA$1,0),FALSE)</f>
        <v>9.0351092923415893E-2</v>
      </c>
      <c r="F4" s="8">
        <f>VLOOKUP($A$1,[1]resultados_proyectados_proporci!$A$1:$AA$29,MATCH(F$2,[1]resultados_proyectados_proporci!$A$1:$AA$1,0),FALSE)</f>
        <v>4.5703230876148103E-2</v>
      </c>
      <c r="G4" s="8">
        <f>VLOOKUP($A$1,[1]resultados_proyectados_proporci!$A$1:$AA$29,MATCH(G$2,[1]resultados_proyectados_proporci!$A$1:$AA$1,0),FALSE)</f>
        <v>0.10105248853606499</v>
      </c>
      <c r="H4" s="8">
        <f>VLOOKUP($A$1,[1]resultados_proyectados_proporci!$A$1:$AA$29,MATCH(H$2,[1]resultados_proyectados_proporci!$A$1:$AA$1,0),FALSE)</f>
        <v>3.28187210170535E-2</v>
      </c>
      <c r="I4" s="8">
        <f>VLOOKUP($A$1,[1]resultados_proyectados_proporci!$A$1:$AA$29,MATCH(I$2,[1]resultados_proyectados_proporci!$A$1:$AA$1,0),FALSE)</f>
        <v>9.9342776262546797E-2</v>
      </c>
    </row>
    <row r="5" spans="1:9"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row>
    <row r="6" spans="1:9" x14ac:dyDescent="0.35">
      <c r="B6" s="1" t="s">
        <v>3</v>
      </c>
      <c r="C6" s="6">
        <f>VLOOKUP($A$1,[3]resultados_integracion_partido_!$A$1:$AA$29,MATCH(C$2,[3]resultados_integracion_partido_!$A$1:$AA$1,0),FALSE)</f>
        <v>1</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0</v>
      </c>
      <c r="I6" s="6">
        <f>VLOOKUP($A$1,[3]resultados_integracion_partido_!$A$1:$AA$29,MATCH(I$2,[3]resultados_integracion_partido_!$A$1:$AA$1,0),FALSE)</f>
        <v>1</v>
      </c>
    </row>
    <row r="7" spans="1:9" x14ac:dyDescent="0.35">
      <c r="B7" s="1" t="s">
        <v>4</v>
      </c>
      <c r="C7" s="6">
        <f>VLOOKUP($A$1,[4]resultados_integracion_partido_!$A$1:$AA$29,MATCH(C$2,[4]resultados_integracion_partido_!$A$1:$AA$1,0),FALSE)</f>
        <v>1</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row>
    <row r="8" spans="1:9"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0</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ht="15" thickBot="1" x14ac:dyDescent="0.4"/>
    <row r="14" spans="1:9" ht="14.5" customHeight="1" x14ac:dyDescent="0.35">
      <c r="B14" s="34" t="s">
        <v>70</v>
      </c>
      <c r="C14" s="35"/>
      <c r="D14" s="35"/>
      <c r="E14" s="35"/>
      <c r="F14" s="35"/>
      <c r="G14" s="35"/>
      <c r="H14" s="35"/>
      <c r="I14" s="36"/>
    </row>
    <row r="15" spans="1:9" x14ac:dyDescent="0.35">
      <c r="B15" s="37"/>
      <c r="C15" s="38"/>
      <c r="D15" s="38"/>
      <c r="E15" s="38"/>
      <c r="F15" s="38"/>
      <c r="G15" s="38"/>
      <c r="H15" s="38"/>
      <c r="I15" s="39"/>
    </row>
    <row r="16" spans="1:9" x14ac:dyDescent="0.35">
      <c r="B16" s="37"/>
      <c r="C16" s="38"/>
      <c r="D16" s="38"/>
      <c r="E16" s="38"/>
      <c r="F16" s="38"/>
      <c r="G16" s="38"/>
      <c r="H16" s="38"/>
      <c r="I16" s="39"/>
    </row>
    <row r="17" spans="2:9" x14ac:dyDescent="0.35">
      <c r="B17" s="37"/>
      <c r="C17" s="38"/>
      <c r="D17" s="38"/>
      <c r="E17" s="38"/>
      <c r="F17" s="38"/>
      <c r="G17" s="38"/>
      <c r="H17" s="38"/>
      <c r="I17" s="39"/>
    </row>
    <row r="18" spans="2:9" x14ac:dyDescent="0.35">
      <c r="B18" s="37"/>
      <c r="C18" s="38"/>
      <c r="D18" s="38"/>
      <c r="E18" s="38"/>
      <c r="F18" s="38"/>
      <c r="G18" s="38"/>
      <c r="H18" s="38"/>
      <c r="I18" s="39"/>
    </row>
    <row r="19" spans="2:9" x14ac:dyDescent="0.35">
      <c r="B19" s="37"/>
      <c r="C19" s="38"/>
      <c r="D19" s="38"/>
      <c r="E19" s="38"/>
      <c r="F19" s="38"/>
      <c r="G19" s="38"/>
      <c r="H19" s="38"/>
      <c r="I19" s="39"/>
    </row>
    <row r="20" spans="2:9" ht="51.5" customHeight="1" x14ac:dyDescent="0.35">
      <c r="B20" s="37"/>
      <c r="C20" s="38"/>
      <c r="D20" s="38"/>
      <c r="E20" s="38"/>
      <c r="F20" s="38"/>
      <c r="G20" s="38"/>
      <c r="H20" s="38"/>
      <c r="I20" s="39"/>
    </row>
    <row r="21" spans="2:9" x14ac:dyDescent="0.35">
      <c r="B21" s="37"/>
      <c r="C21" s="38"/>
      <c r="D21" s="38"/>
      <c r="E21" s="38"/>
      <c r="F21" s="38"/>
      <c r="G21" s="38"/>
      <c r="H21" s="38"/>
      <c r="I21" s="39"/>
    </row>
    <row r="22" spans="2:9" x14ac:dyDescent="0.35">
      <c r="B22" s="37"/>
      <c r="C22" s="38"/>
      <c r="D22" s="38"/>
      <c r="E22" s="38"/>
      <c r="F22" s="38"/>
      <c r="G22" s="38"/>
      <c r="H22" s="38"/>
      <c r="I22" s="39"/>
    </row>
    <row r="23" spans="2:9" ht="36.5" customHeight="1" thickBot="1" x14ac:dyDescent="0.4">
      <c r="B23" s="40"/>
      <c r="C23" s="41"/>
      <c r="D23" s="41"/>
      <c r="E23" s="41"/>
      <c r="F23" s="41"/>
      <c r="G23" s="41"/>
      <c r="H23" s="41"/>
      <c r="I23" s="42"/>
    </row>
  </sheetData>
  <mergeCells count="1">
    <mergeCell ref="B14:I23"/>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3"/>
  <sheetViews>
    <sheetView showGridLines="0" workbookViewId="0">
      <selection activeCell="K3" sqref="K3:K12"/>
    </sheetView>
  </sheetViews>
  <sheetFormatPr baseColWidth="10" defaultRowHeight="14.5" x14ac:dyDescent="0.35"/>
  <cols>
    <col min="1" max="1" width="2.81640625" bestFit="1" customWidth="1"/>
    <col min="2" max="2" width="19.36328125" bestFit="1" customWidth="1"/>
    <col min="3" max="3" width="5.90625" bestFit="1" customWidth="1"/>
    <col min="4" max="4" width="6.36328125" bestFit="1" customWidth="1"/>
    <col min="5" max="7" width="5.90625" bestFit="1" customWidth="1"/>
    <col min="8" max="8" width="5.90625" customWidth="1"/>
    <col min="9" max="9" width="6.90625" bestFit="1" customWidth="1"/>
    <col min="10" max="10" width="5.90625" bestFit="1" customWidth="1"/>
    <col min="12" max="12" width="16.26953125" customWidth="1"/>
    <col min="13" max="13" width="48.81640625" customWidth="1"/>
  </cols>
  <sheetData>
    <row r="1" spans="1:10" x14ac:dyDescent="0.35">
      <c r="A1" s="30">
        <v>15</v>
      </c>
    </row>
    <row r="2" spans="1:10" x14ac:dyDescent="0.35">
      <c r="B2" s="2" t="s">
        <v>0</v>
      </c>
      <c r="C2" s="2" t="s">
        <v>11</v>
      </c>
      <c r="D2" s="2" t="s">
        <v>12</v>
      </c>
      <c r="E2" s="2" t="s">
        <v>22</v>
      </c>
      <c r="F2" s="2" t="s">
        <v>15</v>
      </c>
      <c r="G2" s="2" t="s">
        <v>23</v>
      </c>
      <c r="H2" s="2" t="s">
        <v>21</v>
      </c>
      <c r="I2" s="2" t="s">
        <v>60</v>
      </c>
      <c r="J2" s="2" t="s">
        <v>14</v>
      </c>
    </row>
    <row r="3" spans="1:10" x14ac:dyDescent="0.35">
      <c r="B3" s="1" t="s">
        <v>1</v>
      </c>
      <c r="C3" s="5">
        <v>0</v>
      </c>
      <c r="D3" s="5">
        <v>1</v>
      </c>
      <c r="E3" s="5">
        <v>0</v>
      </c>
      <c r="F3" s="5">
        <v>1</v>
      </c>
      <c r="G3" s="5">
        <v>1</v>
      </c>
      <c r="H3" s="5">
        <v>0</v>
      </c>
      <c r="I3" s="5">
        <v>0</v>
      </c>
      <c r="J3" s="5">
        <v>2</v>
      </c>
    </row>
    <row r="4" spans="1:10" x14ac:dyDescent="0.35">
      <c r="B4" s="7" t="s">
        <v>29</v>
      </c>
      <c r="C4" s="8">
        <f>VLOOKUP($A$1,[1]resultados_proyectados_proporci!$A$1:$AA$29,MATCH(C$2,[1]resultados_proyectados_proporci!$A$1:$AA$1,0),FALSE)</f>
        <v>5.6785339219151201E-2</v>
      </c>
      <c r="D4" s="8">
        <f>VLOOKUP($A$1,[1]resultados_proyectados_proporci!$A$1:$AA$29,MATCH(D$2,[1]resultados_proyectados_proporci!$A$1:$AA$1,0),FALSE)</f>
        <v>3.00554307981701E-2</v>
      </c>
      <c r="E4" s="8">
        <f>VLOOKUP($A$1,[1]resultados_proyectados_proporci!$A$1:$AA$29,MATCH(E$2,[1]resultados_proyectados_proporci!$A$1:$AA$1,0),FALSE)</f>
        <v>6.0200784567753199E-2</v>
      </c>
      <c r="F4" s="8">
        <f>VLOOKUP($A$1,[1]resultados_proyectados_proporci!$A$1:$AA$29,MATCH(F$2,[1]resultados_proyectados_proporci!$A$1:$AA$1,0),FALSE)</f>
        <v>9.8994612352649405E-2</v>
      </c>
      <c r="G4" s="8">
        <f>VLOOKUP($A$1,[1]resultados_proyectados_proporci!$A$1:$AA$29,MATCH(G$2,[1]resultados_proyectados_proporci!$A$1:$AA$1,0),FALSE)</f>
        <v>8.3482289446990002E-2</v>
      </c>
      <c r="H4" s="8">
        <f>VLOOKUP($A$1,[1]resultados_proyectados_proporci!$A$1:$AA$29,MATCH(H$2,[1]resultados_proyectados_proporci!$A$1:$AA$1,0),FALSE)</f>
        <v>5.83091470378925E-2</v>
      </c>
      <c r="I4" s="8">
        <f>VLOOKUP($A$1,[1]resultados_proyectados_proporci!$A$1:$AA$29,MATCH(I$2,[1]resultados_proyectados_proporci!$A$1:$AA$1,0),FALSE)</f>
        <v>0.13311651453680101</v>
      </c>
      <c r="J4" s="8">
        <f>VLOOKUP($A$1,[1]resultados_proyectados_proporci!$A$1:$AA$29,MATCH(J$2,[1]resultados_proyectados_proporci!$A$1:$AA$1,0),FALSE)</f>
        <v>8.2508191738560901E-2</v>
      </c>
    </row>
    <row r="5" spans="1:10"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2</v>
      </c>
      <c r="J5" s="6">
        <f>VLOOKUP($A$1,[2]resultados_integracion_partido_!$A$1:$AA$29,MATCH(J$2,[2]resultados_integracion_partido_!$A$1:$AA$1,0),FALSE)</f>
        <v>0</v>
      </c>
    </row>
    <row r="6" spans="1:10"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row>
    <row r="7" spans="1:10"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0</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row>
    <row r="8" spans="1:10"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0</v>
      </c>
    </row>
    <row r="9" spans="1:10"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0</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row>
    <row r="10" spans="1:10"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0</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row>
    <row r="11" spans="1:10"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0</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0</v>
      </c>
    </row>
    <row r="12" spans="1:10"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0</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0</v>
      </c>
    </row>
    <row r="13" spans="1:10" ht="15" thickBot="1" x14ac:dyDescent="0.4"/>
    <row r="14" spans="1:10" ht="14.5" customHeight="1" x14ac:dyDescent="0.35">
      <c r="B14" s="34" t="s">
        <v>69</v>
      </c>
      <c r="C14" s="35"/>
      <c r="D14" s="35"/>
      <c r="E14" s="35"/>
      <c r="F14" s="35"/>
      <c r="G14" s="35"/>
      <c r="H14" s="35"/>
      <c r="I14" s="35"/>
      <c r="J14" s="36"/>
    </row>
    <row r="15" spans="1:10" x14ac:dyDescent="0.35">
      <c r="B15" s="37"/>
      <c r="C15" s="38"/>
      <c r="D15" s="38"/>
      <c r="E15" s="38"/>
      <c r="F15" s="38"/>
      <c r="G15" s="38"/>
      <c r="H15" s="38"/>
      <c r="I15" s="38"/>
      <c r="J15" s="39"/>
    </row>
    <row r="16" spans="1:10" x14ac:dyDescent="0.35">
      <c r="B16" s="37"/>
      <c r="C16" s="38"/>
      <c r="D16" s="38"/>
      <c r="E16" s="38"/>
      <c r="F16" s="38"/>
      <c r="G16" s="38"/>
      <c r="H16" s="38"/>
      <c r="I16" s="38"/>
      <c r="J16" s="39"/>
    </row>
    <row r="17" spans="2:10" x14ac:dyDescent="0.35">
      <c r="B17" s="37"/>
      <c r="C17" s="38"/>
      <c r="D17" s="38"/>
      <c r="E17" s="38"/>
      <c r="F17" s="38"/>
      <c r="G17" s="38"/>
      <c r="H17" s="38"/>
      <c r="I17" s="38"/>
      <c r="J17" s="39"/>
    </row>
    <row r="18" spans="2:10" x14ac:dyDescent="0.35">
      <c r="B18" s="37"/>
      <c r="C18" s="38"/>
      <c r="D18" s="38"/>
      <c r="E18" s="38"/>
      <c r="F18" s="38"/>
      <c r="G18" s="38"/>
      <c r="H18" s="38"/>
      <c r="I18" s="38"/>
      <c r="J18" s="39"/>
    </row>
    <row r="19" spans="2:10" x14ac:dyDescent="0.35">
      <c r="B19" s="37"/>
      <c r="C19" s="38"/>
      <c r="D19" s="38"/>
      <c r="E19" s="38"/>
      <c r="F19" s="38"/>
      <c r="G19" s="38"/>
      <c r="H19" s="38"/>
      <c r="I19" s="38"/>
      <c r="J19" s="39"/>
    </row>
    <row r="20" spans="2:10" x14ac:dyDescent="0.35">
      <c r="B20" s="37"/>
      <c r="C20" s="38"/>
      <c r="D20" s="38"/>
      <c r="E20" s="38"/>
      <c r="F20" s="38"/>
      <c r="G20" s="38"/>
      <c r="H20" s="38"/>
      <c r="I20" s="38"/>
      <c r="J20" s="39"/>
    </row>
    <row r="21" spans="2:10" x14ac:dyDescent="0.35">
      <c r="B21" s="37"/>
      <c r="C21" s="38"/>
      <c r="D21" s="38"/>
      <c r="E21" s="38"/>
      <c r="F21" s="38"/>
      <c r="G21" s="38"/>
      <c r="H21" s="38"/>
      <c r="I21" s="38"/>
      <c r="J21" s="39"/>
    </row>
    <row r="22" spans="2:10" x14ac:dyDescent="0.35">
      <c r="B22" s="37"/>
      <c r="C22" s="38"/>
      <c r="D22" s="38"/>
      <c r="E22" s="38"/>
      <c r="F22" s="38"/>
      <c r="G22" s="38"/>
      <c r="H22" s="38"/>
      <c r="I22" s="38"/>
      <c r="J22" s="39"/>
    </row>
    <row r="23" spans="2:10" ht="83.5" customHeight="1" thickBot="1" x14ac:dyDescent="0.4">
      <c r="B23" s="40"/>
      <c r="C23" s="41"/>
      <c r="D23" s="41"/>
      <c r="E23" s="41"/>
      <c r="F23" s="41"/>
      <c r="G23" s="41"/>
      <c r="H23" s="41"/>
      <c r="I23" s="41"/>
      <c r="J23" s="42"/>
    </row>
  </sheetData>
  <mergeCells count="1">
    <mergeCell ref="B14:J23"/>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I23"/>
  <sheetViews>
    <sheetView showGridLines="0" zoomScaleNormal="100" workbookViewId="0">
      <selection activeCell="J23" sqref="J23"/>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6.90625" customWidth="1"/>
    <col min="9" max="9" width="5.90625" bestFit="1" customWidth="1"/>
  </cols>
  <sheetData>
    <row r="1" spans="1:9" x14ac:dyDescent="0.35">
      <c r="A1" s="30">
        <v>16</v>
      </c>
    </row>
    <row r="2" spans="1:9" x14ac:dyDescent="0.35">
      <c r="B2" s="2" t="s">
        <v>0</v>
      </c>
      <c r="C2" s="2" t="s">
        <v>11</v>
      </c>
      <c r="D2" s="2" t="s">
        <v>21</v>
      </c>
      <c r="E2" s="2" t="s">
        <v>22</v>
      </c>
      <c r="F2" s="2" t="s">
        <v>15</v>
      </c>
      <c r="G2" s="2" t="s">
        <v>23</v>
      </c>
      <c r="H2" s="2" t="s">
        <v>20</v>
      </c>
      <c r="I2" s="2" t="s">
        <v>60</v>
      </c>
    </row>
    <row r="3" spans="1:9" x14ac:dyDescent="0.35">
      <c r="B3" s="1" t="s">
        <v>1</v>
      </c>
      <c r="C3" s="5">
        <v>1</v>
      </c>
      <c r="D3" s="5">
        <v>1</v>
      </c>
      <c r="E3" s="5">
        <v>0</v>
      </c>
      <c r="F3" s="5">
        <v>1</v>
      </c>
      <c r="G3" s="5">
        <v>1</v>
      </c>
      <c r="H3" s="5">
        <v>0</v>
      </c>
      <c r="I3" s="5">
        <v>0</v>
      </c>
    </row>
    <row r="4" spans="1:9" x14ac:dyDescent="0.35">
      <c r="B4" s="7" t="s">
        <v>29</v>
      </c>
      <c r="C4" s="8">
        <f>VLOOKUP($A$1,[1]resultados_proyectados_proporci!$A$1:$AA$29,MATCH(C$2,[1]resultados_proyectados_proporci!$A$1:$AA$1,0),FALSE)</f>
        <v>5.4583715425404203E-2</v>
      </c>
      <c r="D4" s="8">
        <f>VLOOKUP($A$1,[1]resultados_proyectados_proporci!$A$1:$AA$29,MATCH(D$2,[1]resultados_proyectados_proporci!$A$1:$AA$1,0),FALSE)</f>
        <v>7.0252900741953297E-2</v>
      </c>
      <c r="E4" s="8">
        <f>VLOOKUP($A$1,[1]resultados_proyectados_proporci!$A$1:$AA$29,MATCH(E$2,[1]resultados_proyectados_proporci!$A$1:$AA$1,0),FALSE)</f>
        <v>8.7097287588386404E-2</v>
      </c>
      <c r="F4" s="8">
        <f>VLOOKUP($A$1,[1]resultados_proyectados_proporci!$A$1:$AA$29,MATCH(F$2,[1]resultados_proyectados_proporci!$A$1:$AA$1,0),FALSE)</f>
        <v>0.11423150863843801</v>
      </c>
      <c r="G4" s="8">
        <f>VLOOKUP($A$1,[1]resultados_proyectados_proporci!$A$1:$AA$29,MATCH(G$2,[1]resultados_proyectados_proporci!$A$1:$AA$1,0),FALSE)</f>
        <v>0.13826503674399401</v>
      </c>
      <c r="H4" s="8">
        <f>VLOOKUP($A$1,[1]resultados_proyectados_proporci!$A$1:$AA$29,MATCH(H$2,[1]resultados_proyectados_proporci!$A$1:$AA$1,0),FALSE)</f>
        <v>6.8490098447127196E-2</v>
      </c>
      <c r="I4" s="8">
        <f>VLOOKUP($A$1,[1]resultados_proyectados_proporci!$A$1:$AA$29,MATCH(I$2,[1]resultados_proyectados_proporci!$A$1:$AA$1,0),FALSE)</f>
        <v>9.5258521600517301E-2</v>
      </c>
    </row>
    <row r="5" spans="1:9"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row>
    <row r="6" spans="1:9" x14ac:dyDescent="0.35">
      <c r="B6" s="1"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0</v>
      </c>
    </row>
    <row r="7" spans="1:9" x14ac:dyDescent="0.35">
      <c r="B7" s="1"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0</v>
      </c>
    </row>
    <row r="8" spans="1:9" x14ac:dyDescent="0.35">
      <c r="B8" s="1"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0</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0</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0</v>
      </c>
    </row>
    <row r="13" spans="1:9" ht="15" thickBot="1" x14ac:dyDescent="0.4"/>
    <row r="14" spans="1:9" ht="14.5" customHeight="1" x14ac:dyDescent="0.35">
      <c r="B14" s="34" t="s">
        <v>65</v>
      </c>
      <c r="C14" s="35"/>
      <c r="D14" s="35"/>
      <c r="E14" s="35"/>
      <c r="F14" s="35"/>
      <c r="G14" s="35"/>
      <c r="H14" s="35"/>
      <c r="I14" s="36"/>
    </row>
    <row r="15" spans="1:9" x14ac:dyDescent="0.35">
      <c r="B15" s="37"/>
      <c r="C15" s="38"/>
      <c r="D15" s="38"/>
      <c r="E15" s="38"/>
      <c r="F15" s="38"/>
      <c r="G15" s="38"/>
      <c r="H15" s="38"/>
      <c r="I15" s="39"/>
    </row>
    <row r="16" spans="1:9" x14ac:dyDescent="0.35">
      <c r="B16" s="37"/>
      <c r="C16" s="38"/>
      <c r="D16" s="38"/>
      <c r="E16" s="38"/>
      <c r="F16" s="38"/>
      <c r="G16" s="38"/>
      <c r="H16" s="38"/>
      <c r="I16" s="39"/>
    </row>
    <row r="17" spans="2:9" x14ac:dyDescent="0.35">
      <c r="B17" s="37"/>
      <c r="C17" s="38"/>
      <c r="D17" s="38"/>
      <c r="E17" s="38"/>
      <c r="F17" s="38"/>
      <c r="G17" s="38"/>
      <c r="H17" s="38"/>
      <c r="I17" s="39"/>
    </row>
    <row r="18" spans="2:9" x14ac:dyDescent="0.35">
      <c r="B18" s="37"/>
      <c r="C18" s="38"/>
      <c r="D18" s="38"/>
      <c r="E18" s="38"/>
      <c r="F18" s="38"/>
      <c r="G18" s="38"/>
      <c r="H18" s="38"/>
      <c r="I18" s="39"/>
    </row>
    <row r="19" spans="2:9" x14ac:dyDescent="0.35">
      <c r="B19" s="37"/>
      <c r="C19" s="38"/>
      <c r="D19" s="38"/>
      <c r="E19" s="38"/>
      <c r="F19" s="38"/>
      <c r="G19" s="38"/>
      <c r="H19" s="38"/>
      <c r="I19" s="39"/>
    </row>
    <row r="20" spans="2:9" ht="42" customHeight="1" x14ac:dyDescent="0.35">
      <c r="B20" s="37"/>
      <c r="C20" s="38"/>
      <c r="D20" s="38"/>
      <c r="E20" s="38"/>
      <c r="F20" s="38"/>
      <c r="G20" s="38"/>
      <c r="H20" s="38"/>
      <c r="I20" s="39"/>
    </row>
    <row r="21" spans="2:9" x14ac:dyDescent="0.35">
      <c r="B21" s="37"/>
      <c r="C21" s="38"/>
      <c r="D21" s="38"/>
      <c r="E21" s="38"/>
      <c r="F21" s="38"/>
      <c r="G21" s="38"/>
      <c r="H21" s="38"/>
      <c r="I21" s="39"/>
    </row>
    <row r="22" spans="2:9" x14ac:dyDescent="0.35">
      <c r="B22" s="37"/>
      <c r="C22" s="38"/>
      <c r="D22" s="38"/>
      <c r="E22" s="38"/>
      <c r="F22" s="38"/>
      <c r="G22" s="38"/>
      <c r="H22" s="38"/>
      <c r="I22" s="39"/>
    </row>
    <row r="23" spans="2:9" ht="38.5" customHeight="1" thickBot="1" x14ac:dyDescent="0.4">
      <c r="B23" s="40"/>
      <c r="C23" s="41"/>
      <c r="D23" s="41"/>
      <c r="E23" s="41"/>
      <c r="F23" s="41"/>
      <c r="G23" s="41"/>
      <c r="H23" s="41"/>
      <c r="I23" s="42"/>
    </row>
  </sheetData>
  <mergeCells count="1">
    <mergeCell ref="B14:I23"/>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3"/>
  <sheetViews>
    <sheetView showGridLines="0" zoomScaleNormal="100" workbookViewId="0">
      <selection activeCell="L3" sqref="L3:L12"/>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 min="9" max="9" width="6.90625" bestFit="1" customWidth="1"/>
    <col min="10" max="10" width="5.90625" bestFit="1" customWidth="1"/>
    <col min="11" max="11" width="6.08984375" bestFit="1" customWidth="1"/>
  </cols>
  <sheetData>
    <row r="1" spans="1:11" x14ac:dyDescent="0.35">
      <c r="A1" s="30">
        <v>21</v>
      </c>
    </row>
    <row r="2" spans="1:11" x14ac:dyDescent="0.35">
      <c r="B2" s="3" t="s">
        <v>0</v>
      </c>
      <c r="C2" s="3" t="s">
        <v>11</v>
      </c>
      <c r="D2" s="3" t="s">
        <v>61</v>
      </c>
      <c r="E2" s="3" t="s">
        <v>21</v>
      </c>
      <c r="F2" s="3" t="s">
        <v>23</v>
      </c>
      <c r="G2" s="3" t="s">
        <v>60</v>
      </c>
      <c r="H2" s="3" t="s">
        <v>20</v>
      </c>
      <c r="I2" s="3" t="s">
        <v>15</v>
      </c>
      <c r="J2" s="3" t="s">
        <v>22</v>
      </c>
      <c r="K2" s="3" t="s">
        <v>17</v>
      </c>
    </row>
    <row r="3" spans="1:11" x14ac:dyDescent="0.35">
      <c r="B3" s="4" t="s">
        <v>1</v>
      </c>
      <c r="C3" s="4">
        <v>1</v>
      </c>
      <c r="D3" s="4">
        <v>1</v>
      </c>
      <c r="E3" s="4">
        <v>0</v>
      </c>
      <c r="F3" s="4">
        <v>1</v>
      </c>
      <c r="G3" s="4">
        <v>1</v>
      </c>
      <c r="H3" s="4">
        <v>0</v>
      </c>
      <c r="I3" s="4">
        <v>1</v>
      </c>
      <c r="J3" s="4">
        <v>0</v>
      </c>
      <c r="K3" s="4">
        <v>0</v>
      </c>
    </row>
    <row r="4" spans="1:11" x14ac:dyDescent="0.35">
      <c r="B4" s="7" t="s">
        <v>29</v>
      </c>
      <c r="C4" s="8">
        <f>VLOOKUP($A$1,[1]resultados_proyectados_proporci!$A$1:$AA$29,MATCH(C$2,[1]resultados_proyectados_proporci!$A$1:$AA$1,0),FALSE)</f>
        <v>3.6312728242405702E-2</v>
      </c>
      <c r="D4" s="8">
        <f>VLOOKUP($A$1,[1]resultados_proyectados_proporci!$A$1:$AA$29,MATCH(D$2,[1]resultados_proyectados_proporci!$A$1:$AA$1,0),FALSE)</f>
        <v>6.4196872440524896E-2</v>
      </c>
      <c r="E4" s="8">
        <f>VLOOKUP($A$1,[1]resultados_proyectados_proporci!$A$1:$AA$29,MATCH(E$2,[1]resultados_proyectados_proporci!$A$1:$AA$1,0),FALSE)</f>
        <v>7.3569854080701394E-2</v>
      </c>
      <c r="F4" s="8">
        <f>VLOOKUP($A$1,[1]resultados_proyectados_proporci!$A$1:$AA$29,MATCH(F$2,[1]resultados_proyectados_proporci!$A$1:$AA$1,0),FALSE)</f>
        <v>0.102611032517129</v>
      </c>
      <c r="G4" s="8">
        <f>VLOOKUP($A$1,[1]resultados_proyectados_proporci!$A$1:$AA$29,MATCH(G$2,[1]resultados_proyectados_proporci!$A$1:$AA$1,0),FALSE)</f>
        <v>0.11951391402068499</v>
      </c>
      <c r="H4" s="8">
        <f>VLOOKUP($A$1,[1]resultados_proyectados_proporci!$A$1:$AA$29,MATCH(H$2,[1]resultados_proyectados_proporci!$A$1:$AA$1,0),FALSE)</f>
        <v>7.2966229214681599E-2</v>
      </c>
      <c r="I4" s="8">
        <f>VLOOKUP($A$1,[1]resultados_proyectados_proporci!$A$1:$AA$29,MATCH(I$2,[1]resultados_proyectados_proporci!$A$1:$AA$1,0),FALSE)</f>
        <v>0.11405323881276699</v>
      </c>
      <c r="J4" s="8">
        <f>VLOOKUP($A$1,[1]resultados_proyectados_proporci!$A$1:$AA$29,MATCH(J$2,[1]resultados_proyectados_proporci!$A$1:$AA$1,0),FALSE)</f>
        <v>5.2002818993923901E-2</v>
      </c>
      <c r="K4" s="8">
        <f>VLOOKUP($A$1,[1]resultados_proyectados_proporci!$A$1:$AA$29,MATCH(K$2,[1]resultados_proyectados_proporci!$A$1:$AA$1,0),FALSE)</f>
        <v>4.3002817262355102E-2</v>
      </c>
    </row>
    <row r="5" spans="1:11"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0</v>
      </c>
    </row>
    <row r="7" spans="1:11"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ht="15" thickBot="1" x14ac:dyDescent="0.4"/>
    <row r="14" spans="1:11" ht="14.5" customHeight="1" x14ac:dyDescent="0.35">
      <c r="B14" s="34" t="s">
        <v>68</v>
      </c>
      <c r="C14" s="35"/>
      <c r="D14" s="35"/>
      <c r="E14" s="35"/>
      <c r="F14" s="35"/>
      <c r="G14" s="35"/>
      <c r="H14" s="35"/>
      <c r="I14" s="35"/>
      <c r="J14" s="35"/>
      <c r="K14" s="36"/>
    </row>
    <row r="15" spans="1:11" x14ac:dyDescent="0.35">
      <c r="B15" s="37"/>
      <c r="C15" s="38"/>
      <c r="D15" s="38"/>
      <c r="E15" s="38"/>
      <c r="F15" s="38"/>
      <c r="G15" s="38"/>
      <c r="H15" s="38"/>
      <c r="I15" s="38"/>
      <c r="J15" s="38"/>
      <c r="K15" s="39"/>
    </row>
    <row r="16" spans="1:11" x14ac:dyDescent="0.35">
      <c r="B16" s="37"/>
      <c r="C16" s="38"/>
      <c r="D16" s="38"/>
      <c r="E16" s="38"/>
      <c r="F16" s="38"/>
      <c r="G16" s="38"/>
      <c r="H16" s="38"/>
      <c r="I16" s="38"/>
      <c r="J16" s="38"/>
      <c r="K16" s="39"/>
    </row>
    <row r="17" spans="2:11" x14ac:dyDescent="0.35">
      <c r="B17" s="37"/>
      <c r="C17" s="38"/>
      <c r="D17" s="38"/>
      <c r="E17" s="38"/>
      <c r="F17" s="38"/>
      <c r="G17" s="38"/>
      <c r="H17" s="38"/>
      <c r="I17" s="38"/>
      <c r="J17" s="38"/>
      <c r="K17" s="39"/>
    </row>
    <row r="18" spans="2:11" x14ac:dyDescent="0.35">
      <c r="B18" s="37"/>
      <c r="C18" s="38"/>
      <c r="D18" s="38"/>
      <c r="E18" s="38"/>
      <c r="F18" s="38"/>
      <c r="G18" s="38"/>
      <c r="H18" s="38"/>
      <c r="I18" s="38"/>
      <c r="J18" s="38"/>
      <c r="K18" s="39"/>
    </row>
    <row r="19" spans="2:11" x14ac:dyDescent="0.35">
      <c r="B19" s="37"/>
      <c r="C19" s="38"/>
      <c r="D19" s="38"/>
      <c r="E19" s="38"/>
      <c r="F19" s="38"/>
      <c r="G19" s="38"/>
      <c r="H19" s="38"/>
      <c r="I19" s="38"/>
      <c r="J19" s="38"/>
      <c r="K19" s="39"/>
    </row>
    <row r="20" spans="2:11" x14ac:dyDescent="0.35">
      <c r="B20" s="37"/>
      <c r="C20" s="38"/>
      <c r="D20" s="38"/>
      <c r="E20" s="38"/>
      <c r="F20" s="38"/>
      <c r="G20" s="38"/>
      <c r="H20" s="38"/>
      <c r="I20" s="38"/>
      <c r="J20" s="38"/>
      <c r="K20" s="39"/>
    </row>
    <row r="21" spans="2:11" x14ac:dyDescent="0.35">
      <c r="B21" s="37"/>
      <c r="C21" s="38"/>
      <c r="D21" s="38"/>
      <c r="E21" s="38"/>
      <c r="F21" s="38"/>
      <c r="G21" s="38"/>
      <c r="H21" s="38"/>
      <c r="I21" s="38"/>
      <c r="J21" s="38"/>
      <c r="K21" s="39"/>
    </row>
    <row r="22" spans="2:11" x14ac:dyDescent="0.35">
      <c r="B22" s="37"/>
      <c r="C22" s="38"/>
      <c r="D22" s="38"/>
      <c r="E22" s="38"/>
      <c r="F22" s="38"/>
      <c r="G22" s="38"/>
      <c r="H22" s="38"/>
      <c r="I22" s="38"/>
      <c r="J22" s="38"/>
      <c r="K22" s="39"/>
    </row>
    <row r="23" spans="2:11" ht="74" customHeight="1" thickBot="1" x14ac:dyDescent="0.4">
      <c r="B23" s="40"/>
      <c r="C23" s="41"/>
      <c r="D23" s="41"/>
      <c r="E23" s="41"/>
      <c r="F23" s="41"/>
      <c r="G23" s="41"/>
      <c r="H23" s="41"/>
      <c r="I23" s="41"/>
      <c r="J23" s="41"/>
      <c r="K23" s="42"/>
    </row>
  </sheetData>
  <mergeCells count="1">
    <mergeCell ref="B14:K23"/>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3"/>
  <sheetViews>
    <sheetView showGridLines="0" topLeftCell="A2" workbookViewId="0">
      <selection activeCell="L3" sqref="L3:L12"/>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9" max="9" width="6.90625" bestFit="1" customWidth="1"/>
    <col min="10" max="11" width="5.90625" bestFit="1" customWidth="1"/>
  </cols>
  <sheetData>
    <row r="1" spans="1:11" x14ac:dyDescent="0.35">
      <c r="A1" s="30">
        <v>23</v>
      </c>
    </row>
    <row r="2" spans="1:11" x14ac:dyDescent="0.35">
      <c r="B2" s="3" t="s">
        <v>0</v>
      </c>
      <c r="C2" s="3" t="s">
        <v>11</v>
      </c>
      <c r="D2" s="3" t="s">
        <v>63</v>
      </c>
      <c r="E2" s="3" t="s">
        <v>20</v>
      </c>
      <c r="F2" s="3" t="s">
        <v>23</v>
      </c>
      <c r="G2" s="3" t="s">
        <v>60</v>
      </c>
      <c r="H2" s="3" t="s">
        <v>14</v>
      </c>
      <c r="I2" s="3" t="s">
        <v>15</v>
      </c>
      <c r="J2" s="3" t="s">
        <v>22</v>
      </c>
      <c r="K2" s="3" t="s">
        <v>21</v>
      </c>
    </row>
    <row r="3" spans="1:11" x14ac:dyDescent="0.35">
      <c r="B3" s="4" t="s">
        <v>1</v>
      </c>
      <c r="C3" s="4">
        <v>1</v>
      </c>
      <c r="D3" s="4">
        <v>1</v>
      </c>
      <c r="E3" s="4">
        <v>0</v>
      </c>
      <c r="F3" s="4">
        <v>1</v>
      </c>
      <c r="G3" s="4">
        <v>2</v>
      </c>
      <c r="H3" s="4">
        <v>0</v>
      </c>
      <c r="I3" s="4">
        <v>2</v>
      </c>
      <c r="J3" s="4">
        <v>0</v>
      </c>
      <c r="K3" s="4">
        <v>0</v>
      </c>
    </row>
    <row r="4" spans="1:11" x14ac:dyDescent="0.35">
      <c r="B4" s="7" t="s">
        <v>29</v>
      </c>
      <c r="C4" s="8">
        <f>VLOOKUP($A$1,[1]resultados_proyectados_proporci!$A$1:$AA$29,MATCH(C$2,[1]resultados_proyectados_proporci!$A$1:$AA$1,0),FALSE)</f>
        <v>5.9345126024072901E-2</v>
      </c>
      <c r="D4" s="8">
        <f>VLOOKUP($A$1,[1]resultados_proyectados_proporci!$A$1:$AA$29,MATCH(D$2,[1]resultados_proyectados_proporci!$A$1:$AA$1,0),FALSE)</f>
        <v>3.10958114136499E-2</v>
      </c>
      <c r="E4" s="8">
        <f>VLOOKUP($A$1,[1]resultados_proyectados_proporci!$A$1:$AA$29,MATCH(E$2,[1]resultados_proyectados_proporci!$A$1:$AA$1,0),FALSE)</f>
        <v>4.1369193844506803E-2</v>
      </c>
      <c r="F4" s="8">
        <f>VLOOKUP($A$1,[1]resultados_proyectados_proporci!$A$1:$AA$29,MATCH(F$2,[1]resultados_proyectados_proporci!$A$1:$AA$1,0),FALSE)</f>
        <v>9.3470033641291903E-2</v>
      </c>
      <c r="G4" s="8">
        <f>VLOOKUP($A$1,[1]resultados_proyectados_proporci!$A$1:$AA$29,MATCH(G$2,[1]resultados_proyectados_proporci!$A$1:$AA$1,0),FALSE)</f>
        <v>0.1169833167047</v>
      </c>
      <c r="H4" s="8">
        <f>VLOOKUP($A$1,[1]resultados_proyectados_proporci!$A$1:$AA$29,MATCH(H$2,[1]resultados_proyectados_proporci!$A$1:$AA$1,0),FALSE)</f>
        <v>5.0201356755263202E-2</v>
      </c>
      <c r="I4" s="8">
        <f>VLOOKUP($A$1,[1]resultados_proyectados_proporci!$A$1:$AA$29,MATCH(I$2,[1]resultados_proyectados_proporci!$A$1:$AA$1,0),FALSE)</f>
        <v>0.132514855857188</v>
      </c>
      <c r="J4" s="8">
        <f>VLOOKUP($A$1,[1]resultados_proyectados_proporci!$A$1:$AA$29,MATCH(J$2,[1]resultados_proyectados_proporci!$A$1:$AA$1,0),FALSE)</f>
        <v>3.8559281103914399E-2</v>
      </c>
      <c r="K4" s="8">
        <f>VLOOKUP($A$1,[1]resultados_proyectados_proporci!$A$1:$AA$29,MATCH(K$2,[1]resultados_proyectados_proporci!$A$1:$AA$1,0),FALSE)</f>
        <v>4.6752827482718001E-2</v>
      </c>
    </row>
    <row r="5" spans="1:11"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0</v>
      </c>
      <c r="K6" s="6">
        <f>VLOOKUP($A$1,[3]resultados_integracion_partido_!$A$1:$AA$29,MATCH(K$2,[3]resultados_integracion_partido_!$A$1:$AA$1,0),FALSE)</f>
        <v>1</v>
      </c>
    </row>
    <row r="7" spans="1:11"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0</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0</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0</v>
      </c>
      <c r="K12" s="6">
        <f>VLOOKUP($A$1,[9]resultados_integracion_partido_!$A$1:$AA$29,MATCH(K$2,[9]resultados_integracion_partido_!$A$1:$AA$1,0),FALSE)</f>
        <v>1</v>
      </c>
    </row>
    <row r="13" spans="1:11" ht="15" thickBot="1" x14ac:dyDescent="0.4"/>
    <row r="14" spans="1:11" ht="14.5" customHeight="1" x14ac:dyDescent="0.35">
      <c r="B14" s="34" t="s">
        <v>67</v>
      </c>
      <c r="C14" s="35"/>
      <c r="D14" s="35"/>
      <c r="E14" s="35"/>
      <c r="F14" s="35"/>
      <c r="G14" s="35"/>
      <c r="H14" s="35"/>
      <c r="I14" s="35"/>
      <c r="J14" s="35"/>
      <c r="K14" s="36"/>
    </row>
    <row r="15" spans="1:11" x14ac:dyDescent="0.35">
      <c r="B15" s="37"/>
      <c r="C15" s="38"/>
      <c r="D15" s="38"/>
      <c r="E15" s="38"/>
      <c r="F15" s="38"/>
      <c r="G15" s="38"/>
      <c r="H15" s="38"/>
      <c r="I15" s="38"/>
      <c r="J15" s="38"/>
      <c r="K15" s="39"/>
    </row>
    <row r="16" spans="1:11" x14ac:dyDescent="0.35">
      <c r="B16" s="37"/>
      <c r="C16" s="38"/>
      <c r="D16" s="38"/>
      <c r="E16" s="38"/>
      <c r="F16" s="38"/>
      <c r="G16" s="38"/>
      <c r="H16" s="38"/>
      <c r="I16" s="38"/>
      <c r="J16" s="38"/>
      <c r="K16" s="39"/>
    </row>
    <row r="17" spans="2:11" x14ac:dyDescent="0.35">
      <c r="B17" s="37"/>
      <c r="C17" s="38"/>
      <c r="D17" s="38"/>
      <c r="E17" s="38"/>
      <c r="F17" s="38"/>
      <c r="G17" s="38"/>
      <c r="H17" s="38"/>
      <c r="I17" s="38"/>
      <c r="J17" s="38"/>
      <c r="K17" s="39"/>
    </row>
    <row r="18" spans="2:11" x14ac:dyDescent="0.35">
      <c r="B18" s="37"/>
      <c r="C18" s="38"/>
      <c r="D18" s="38"/>
      <c r="E18" s="38"/>
      <c r="F18" s="38"/>
      <c r="G18" s="38"/>
      <c r="H18" s="38"/>
      <c r="I18" s="38"/>
      <c r="J18" s="38"/>
      <c r="K18" s="39"/>
    </row>
    <row r="19" spans="2:11" x14ac:dyDescent="0.35">
      <c r="B19" s="37"/>
      <c r="C19" s="38"/>
      <c r="D19" s="38"/>
      <c r="E19" s="38"/>
      <c r="F19" s="38"/>
      <c r="G19" s="38"/>
      <c r="H19" s="38"/>
      <c r="I19" s="38"/>
      <c r="J19" s="38"/>
      <c r="K19" s="39"/>
    </row>
    <row r="20" spans="2:11" ht="69.5" customHeight="1" x14ac:dyDescent="0.35">
      <c r="B20" s="37"/>
      <c r="C20" s="38"/>
      <c r="D20" s="38"/>
      <c r="E20" s="38"/>
      <c r="F20" s="38"/>
      <c r="G20" s="38"/>
      <c r="H20" s="38"/>
      <c r="I20" s="38"/>
      <c r="J20" s="38"/>
      <c r="K20" s="39"/>
    </row>
    <row r="21" spans="2:11" x14ac:dyDescent="0.35">
      <c r="B21" s="37"/>
      <c r="C21" s="38"/>
      <c r="D21" s="38"/>
      <c r="E21" s="38"/>
      <c r="F21" s="38"/>
      <c r="G21" s="38"/>
      <c r="H21" s="38"/>
      <c r="I21" s="38"/>
      <c r="J21" s="38"/>
      <c r="K21" s="39"/>
    </row>
    <row r="22" spans="2:11" x14ac:dyDescent="0.35">
      <c r="B22" s="37"/>
      <c r="C22" s="38"/>
      <c r="D22" s="38"/>
      <c r="E22" s="38"/>
      <c r="F22" s="38"/>
      <c r="G22" s="38"/>
      <c r="H22" s="38"/>
      <c r="I22" s="38"/>
      <c r="J22" s="38"/>
      <c r="K22" s="39"/>
    </row>
    <row r="23" spans="2:11" ht="51.5" customHeight="1" thickBot="1" x14ac:dyDescent="0.4">
      <c r="B23" s="40"/>
      <c r="C23" s="41"/>
      <c r="D23" s="41"/>
      <c r="E23" s="41"/>
      <c r="F23" s="41"/>
      <c r="G23" s="41"/>
      <c r="H23" s="41"/>
      <c r="I23" s="41"/>
      <c r="J23" s="41"/>
      <c r="K23" s="42"/>
    </row>
  </sheetData>
  <mergeCells count="1">
    <mergeCell ref="B14:K23"/>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3"/>
  <sheetViews>
    <sheetView showGridLines="0" zoomScaleNormal="100" workbookViewId="0">
      <selection activeCell="J3" sqref="J3:J12"/>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7" width="5.90625" bestFit="1" customWidth="1"/>
    <col min="8" max="9" width="6.90625" bestFit="1" customWidth="1"/>
  </cols>
  <sheetData>
    <row r="1" spans="1:9" x14ac:dyDescent="0.35">
      <c r="A1" s="30">
        <v>24</v>
      </c>
    </row>
    <row r="2" spans="1:9" x14ac:dyDescent="0.35">
      <c r="B2" s="3" t="s">
        <v>0</v>
      </c>
      <c r="C2" s="3" t="s">
        <v>11</v>
      </c>
      <c r="D2" s="3" t="s">
        <v>25</v>
      </c>
      <c r="E2" s="3" t="s">
        <v>23</v>
      </c>
      <c r="F2" s="3" t="s">
        <v>60</v>
      </c>
      <c r="G2" s="3" t="s">
        <v>14</v>
      </c>
      <c r="H2" s="3" t="s">
        <v>15</v>
      </c>
      <c r="I2" s="3" t="s">
        <v>22</v>
      </c>
    </row>
    <row r="3" spans="1:9" x14ac:dyDescent="0.35">
      <c r="B3" s="4" t="s">
        <v>1</v>
      </c>
      <c r="C3" s="4">
        <v>1</v>
      </c>
      <c r="D3" s="4">
        <v>1</v>
      </c>
      <c r="E3" s="4">
        <v>1</v>
      </c>
      <c r="F3" s="4">
        <v>0</v>
      </c>
      <c r="G3" s="4">
        <v>0</v>
      </c>
      <c r="H3" s="4">
        <v>0</v>
      </c>
      <c r="I3" s="4">
        <v>2</v>
      </c>
    </row>
    <row r="4" spans="1:9" x14ac:dyDescent="0.35">
      <c r="B4" s="7" t="s">
        <v>29</v>
      </c>
      <c r="C4" s="8">
        <f>VLOOKUP($A$1,[1]resultados_proyectados_proporci!$A$1:$AA$29,MATCH(C$2,[1]resultados_proyectados_proporci!$A$1:$AA$1,0),FALSE)</f>
        <v>7.3790014835395698E-2</v>
      </c>
      <c r="D4" s="8">
        <f>VLOOKUP($A$1,[1]resultados_proyectados_proporci!$A$1:$AA$29,MATCH(D$2,[1]resultados_proyectados_proporci!$A$1:$AA$1,0),FALSE)</f>
        <v>3.2506024199703198E-3</v>
      </c>
      <c r="E4" s="8">
        <f>VLOOKUP($A$1,[1]resultados_proyectados_proporci!$A$1:$AA$29,MATCH(E$2,[1]resultados_proyectados_proporci!$A$1:$AA$1,0),FALSE)</f>
        <v>7.2798487304159901E-2</v>
      </c>
      <c r="F4" s="8">
        <f>VLOOKUP($A$1,[1]resultados_proyectados_proporci!$A$1:$AA$29,MATCH(F$2,[1]resultados_proyectados_proporci!$A$1:$AA$1,0),FALSE)</f>
        <v>0.11662078841981501</v>
      </c>
      <c r="G4" s="8">
        <f>VLOOKUP($A$1,[1]resultados_proyectados_proporci!$A$1:$AA$29,MATCH(G$2,[1]resultados_proyectados_proporci!$A$1:$AA$1,0),FALSE)</f>
        <v>7.8678513544802001E-2</v>
      </c>
      <c r="H4" s="8">
        <f>VLOOKUP($A$1,[1]resultados_proyectados_proporci!$A$1:$AA$29,MATCH(H$2,[1]resultados_proyectados_proporci!$A$1:$AA$1,0),FALSE)</f>
        <v>0.12947956059787499</v>
      </c>
      <c r="I4" s="8">
        <f>VLOOKUP($A$1,[1]resultados_proyectados_proporci!$A$1:$AA$29,MATCH(I$2,[1]resultados_proyectados_proporci!$A$1:$AA$1,0),FALSE)</f>
        <v>0.14268134770565799</v>
      </c>
    </row>
    <row r="5" spans="1:9"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row>
    <row r="6" spans="1:9"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ht="15" thickBot="1" x14ac:dyDescent="0.4"/>
    <row r="14" spans="1:9" ht="14.5" customHeight="1" x14ac:dyDescent="0.35">
      <c r="B14" s="34" t="s">
        <v>66</v>
      </c>
      <c r="C14" s="35"/>
      <c r="D14" s="35"/>
      <c r="E14" s="35"/>
      <c r="F14" s="35"/>
      <c r="G14" s="35"/>
      <c r="H14" s="35"/>
      <c r="I14" s="36"/>
    </row>
    <row r="15" spans="1:9" x14ac:dyDescent="0.35">
      <c r="B15" s="37"/>
      <c r="C15" s="38"/>
      <c r="D15" s="38"/>
      <c r="E15" s="38"/>
      <c r="F15" s="38"/>
      <c r="G15" s="38"/>
      <c r="H15" s="38"/>
      <c r="I15" s="39"/>
    </row>
    <row r="16" spans="1:9" x14ac:dyDescent="0.35">
      <c r="B16" s="37"/>
      <c r="C16" s="38"/>
      <c r="D16" s="38"/>
      <c r="E16" s="38"/>
      <c r="F16" s="38"/>
      <c r="G16" s="38"/>
      <c r="H16" s="38"/>
      <c r="I16" s="39"/>
    </row>
    <row r="17" spans="2:9" x14ac:dyDescent="0.35">
      <c r="B17" s="37"/>
      <c r="C17" s="38"/>
      <c r="D17" s="38"/>
      <c r="E17" s="38"/>
      <c r="F17" s="38"/>
      <c r="G17" s="38"/>
      <c r="H17" s="38"/>
      <c r="I17" s="39"/>
    </row>
    <row r="18" spans="2:9" x14ac:dyDescent="0.35">
      <c r="B18" s="37"/>
      <c r="C18" s="38"/>
      <c r="D18" s="38"/>
      <c r="E18" s="38"/>
      <c r="F18" s="38"/>
      <c r="G18" s="38"/>
      <c r="H18" s="38"/>
      <c r="I18" s="39"/>
    </row>
    <row r="19" spans="2:9" x14ac:dyDescent="0.35">
      <c r="B19" s="37"/>
      <c r="C19" s="38"/>
      <c r="D19" s="38"/>
      <c r="E19" s="38"/>
      <c r="F19" s="38"/>
      <c r="G19" s="38"/>
      <c r="H19" s="38"/>
      <c r="I19" s="39"/>
    </row>
    <row r="20" spans="2:9" x14ac:dyDescent="0.35">
      <c r="B20" s="37"/>
      <c r="C20" s="38"/>
      <c r="D20" s="38"/>
      <c r="E20" s="38"/>
      <c r="F20" s="38"/>
      <c r="G20" s="38"/>
      <c r="H20" s="38"/>
      <c r="I20" s="39"/>
    </row>
    <row r="21" spans="2:9" x14ac:dyDescent="0.35">
      <c r="B21" s="37"/>
      <c r="C21" s="38"/>
      <c r="D21" s="38"/>
      <c r="E21" s="38"/>
      <c r="F21" s="38"/>
      <c r="G21" s="38"/>
      <c r="H21" s="38"/>
      <c r="I21" s="39"/>
    </row>
    <row r="22" spans="2:9" x14ac:dyDescent="0.35">
      <c r="B22" s="37"/>
      <c r="C22" s="38"/>
      <c r="D22" s="38"/>
      <c r="E22" s="38"/>
      <c r="F22" s="38"/>
      <c r="G22" s="38"/>
      <c r="H22" s="38"/>
      <c r="I22" s="39"/>
    </row>
    <row r="23" spans="2:9" ht="116" customHeight="1" thickBot="1" x14ac:dyDescent="0.4">
      <c r="B23" s="40"/>
      <c r="C23" s="41"/>
      <c r="D23" s="41"/>
      <c r="E23" s="41"/>
      <c r="F23" s="41"/>
      <c r="G23" s="41"/>
      <c r="H23" s="41"/>
      <c r="I23" s="42"/>
    </row>
  </sheetData>
  <mergeCells count="1">
    <mergeCell ref="B14:I23"/>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3"/>
  <sheetViews>
    <sheetView showGridLines="0" zoomScaleNormal="100" workbookViewId="0">
      <selection activeCell="J3" sqref="J3:J12"/>
    </sheetView>
  </sheetViews>
  <sheetFormatPr baseColWidth="10" defaultRowHeight="14.5" x14ac:dyDescent="0.35"/>
  <cols>
    <col min="1" max="1" width="2.81640625" bestFit="1" customWidth="1"/>
    <col min="2" max="2" width="19.36328125" bestFit="1" customWidth="1"/>
    <col min="3" max="4" width="5.90625" bestFit="1" customWidth="1"/>
    <col min="5" max="7" width="6.90625" bestFit="1" customWidth="1"/>
    <col min="8" max="9" width="5.90625" bestFit="1" customWidth="1"/>
  </cols>
  <sheetData>
    <row r="1" spans="1:9" x14ac:dyDescent="0.35">
      <c r="A1" s="30">
        <v>26</v>
      </c>
    </row>
    <row r="2" spans="1:9" x14ac:dyDescent="0.35">
      <c r="B2" s="3" t="s">
        <v>0</v>
      </c>
      <c r="C2" s="3" t="s">
        <v>11</v>
      </c>
      <c r="D2" s="3" t="s">
        <v>16</v>
      </c>
      <c r="E2" s="3" t="s">
        <v>23</v>
      </c>
      <c r="F2" s="3" t="s">
        <v>60</v>
      </c>
      <c r="G2" s="3" t="s">
        <v>15</v>
      </c>
      <c r="H2" s="3" t="s">
        <v>22</v>
      </c>
      <c r="I2" s="3" t="s">
        <v>20</v>
      </c>
    </row>
    <row r="3" spans="1:9" x14ac:dyDescent="0.35">
      <c r="B3" s="4" t="s">
        <v>1</v>
      </c>
      <c r="C3" s="4">
        <v>1</v>
      </c>
      <c r="D3" s="4">
        <v>1</v>
      </c>
      <c r="E3" s="4">
        <v>2</v>
      </c>
      <c r="F3" s="4">
        <v>0</v>
      </c>
      <c r="G3" s="4">
        <v>1</v>
      </c>
      <c r="H3" s="4">
        <v>0</v>
      </c>
      <c r="I3" s="4">
        <v>0</v>
      </c>
    </row>
    <row r="4" spans="1:9" x14ac:dyDescent="0.35">
      <c r="B4" s="7" t="s">
        <v>29</v>
      </c>
      <c r="C4" s="8">
        <f>VLOOKUP($A$1,[1]resultados_proyectados_proporci!$A$1:$AA$29,MATCH(C$2,[1]resultados_proyectados_proporci!$A$1:$AA$1,0),FALSE)</f>
        <v>6.1849570032006702E-2</v>
      </c>
      <c r="D4" s="8">
        <f>VLOOKUP($A$1,[1]resultados_proyectados_proporci!$A$1:$AA$29,MATCH(D$2,[1]resultados_proyectados_proporci!$A$1:$AA$1,0),FALSE)</f>
        <v>2.74615092106766E-2</v>
      </c>
      <c r="E4" s="8">
        <f>VLOOKUP($A$1,[1]resultados_proyectados_proporci!$A$1:$AA$29,MATCH(E$2,[1]resultados_proyectados_proporci!$A$1:$AA$1,0),FALSE)</f>
        <v>0.15627627084828899</v>
      </c>
      <c r="F4" s="8">
        <f>VLOOKUP($A$1,[1]resultados_proyectados_proporci!$A$1:$AA$29,MATCH(F$2,[1]resultados_proyectados_proporci!$A$1:$AA$1,0),FALSE)</f>
        <v>0.103983534519361</v>
      </c>
      <c r="G4" s="8">
        <f>VLOOKUP($A$1,[1]resultados_proyectados_proporci!$A$1:$AA$29,MATCH(G$2,[1]resultados_proyectados_proporci!$A$1:$AA$1,0),FALSE)</f>
        <v>0.12398859898471901</v>
      </c>
      <c r="H4" s="8">
        <f>VLOOKUP($A$1,[1]resultados_proyectados_proporci!$A$1:$AA$29,MATCH(H$2,[1]resultados_proyectados_proporci!$A$1:$AA$1,0),FALSE)</f>
        <v>7.7603126667905697E-2</v>
      </c>
      <c r="I4" s="8">
        <f>VLOOKUP($A$1,[1]resultados_proyectados_proporci!$A$1:$AA$29,MATCH(I$2,[1]resultados_proyectados_proporci!$A$1:$AA$1,0),FALSE)</f>
        <v>5.3630897672221602E-2</v>
      </c>
    </row>
    <row r="5" spans="1:9"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0</v>
      </c>
    </row>
    <row r="6" spans="1:9"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0</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ht="15" thickBot="1" x14ac:dyDescent="0.4"/>
    <row r="14" spans="1:9" ht="14.5" customHeight="1" x14ac:dyDescent="0.35">
      <c r="B14" s="34" t="s">
        <v>65</v>
      </c>
      <c r="C14" s="35"/>
      <c r="D14" s="35"/>
      <c r="E14" s="35"/>
      <c r="F14" s="35"/>
      <c r="G14" s="35"/>
      <c r="H14" s="35"/>
      <c r="I14" s="36"/>
    </row>
    <row r="15" spans="1:9" x14ac:dyDescent="0.35">
      <c r="B15" s="37"/>
      <c r="C15" s="38"/>
      <c r="D15" s="38"/>
      <c r="E15" s="38"/>
      <c r="F15" s="38"/>
      <c r="G15" s="38"/>
      <c r="H15" s="38"/>
      <c r="I15" s="39"/>
    </row>
    <row r="16" spans="1:9" x14ac:dyDescent="0.35">
      <c r="B16" s="37"/>
      <c r="C16" s="38"/>
      <c r="D16" s="38"/>
      <c r="E16" s="38"/>
      <c r="F16" s="38"/>
      <c r="G16" s="38"/>
      <c r="H16" s="38"/>
      <c r="I16" s="39"/>
    </row>
    <row r="17" spans="2:9" x14ac:dyDescent="0.35">
      <c r="B17" s="37"/>
      <c r="C17" s="38"/>
      <c r="D17" s="38"/>
      <c r="E17" s="38"/>
      <c r="F17" s="38"/>
      <c r="G17" s="38"/>
      <c r="H17" s="38"/>
      <c r="I17" s="39"/>
    </row>
    <row r="18" spans="2:9" x14ac:dyDescent="0.35">
      <c r="B18" s="37"/>
      <c r="C18" s="38"/>
      <c r="D18" s="38"/>
      <c r="E18" s="38"/>
      <c r="F18" s="38"/>
      <c r="G18" s="38"/>
      <c r="H18" s="38"/>
      <c r="I18" s="39"/>
    </row>
    <row r="19" spans="2:9" x14ac:dyDescent="0.35">
      <c r="B19" s="37"/>
      <c r="C19" s="38"/>
      <c r="D19" s="38"/>
      <c r="E19" s="38"/>
      <c r="F19" s="38"/>
      <c r="G19" s="38"/>
      <c r="H19" s="38"/>
      <c r="I19" s="39"/>
    </row>
    <row r="20" spans="2:9" x14ac:dyDescent="0.35">
      <c r="B20" s="37"/>
      <c r="C20" s="38"/>
      <c r="D20" s="38"/>
      <c r="E20" s="38"/>
      <c r="F20" s="38"/>
      <c r="G20" s="38"/>
      <c r="H20" s="38"/>
      <c r="I20" s="39"/>
    </row>
    <row r="21" spans="2:9" x14ac:dyDescent="0.35">
      <c r="B21" s="37"/>
      <c r="C21" s="38"/>
      <c r="D21" s="38"/>
      <c r="E21" s="38"/>
      <c r="F21" s="38"/>
      <c r="G21" s="38"/>
      <c r="H21" s="38"/>
      <c r="I21" s="39"/>
    </row>
    <row r="22" spans="2:9" x14ac:dyDescent="0.35">
      <c r="B22" s="37"/>
      <c r="C22" s="38"/>
      <c r="D22" s="38"/>
      <c r="E22" s="38"/>
      <c r="F22" s="38"/>
      <c r="G22" s="38"/>
      <c r="H22" s="38"/>
      <c r="I22" s="39"/>
    </row>
    <row r="23" spans="2:9" ht="107.5" customHeight="1" thickBot="1" x14ac:dyDescent="0.4">
      <c r="B23" s="40"/>
      <c r="C23" s="41"/>
      <c r="D23" s="41"/>
      <c r="E23" s="41"/>
      <c r="F23" s="41"/>
      <c r="G23" s="41"/>
      <c r="H23" s="41"/>
      <c r="I23" s="42"/>
    </row>
  </sheetData>
  <mergeCells count="1">
    <mergeCell ref="B14:I23"/>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3"/>
  <sheetViews>
    <sheetView showGridLines="0" tabSelected="1" workbookViewId="0">
      <selection activeCell="L5" sqref="L5"/>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8" width="5.90625" bestFit="1" customWidth="1"/>
    <col min="9" max="9" width="6.90625" bestFit="1" customWidth="1"/>
    <col min="10" max="10" width="5.90625" bestFit="1" customWidth="1"/>
  </cols>
  <sheetData>
    <row r="1" spans="1:10" x14ac:dyDescent="0.35">
      <c r="A1" s="30">
        <v>28</v>
      </c>
    </row>
    <row r="2" spans="1:10" x14ac:dyDescent="0.35">
      <c r="B2" s="3" t="s">
        <v>0</v>
      </c>
      <c r="C2" s="3" t="s">
        <v>11</v>
      </c>
      <c r="D2" s="3" t="s">
        <v>62</v>
      </c>
      <c r="E2" s="3" t="s">
        <v>25</v>
      </c>
      <c r="F2" s="3" t="s">
        <v>60</v>
      </c>
      <c r="G2" s="3" t="s">
        <v>21</v>
      </c>
      <c r="H2" s="3" t="s">
        <v>15</v>
      </c>
      <c r="I2" s="3" t="s">
        <v>22</v>
      </c>
      <c r="J2" s="9" t="s">
        <v>20</v>
      </c>
    </row>
    <row r="3" spans="1:10" x14ac:dyDescent="0.35">
      <c r="B3" s="4" t="s">
        <v>1</v>
      </c>
      <c r="C3" s="4">
        <v>1</v>
      </c>
      <c r="D3" s="4">
        <v>1</v>
      </c>
      <c r="E3" s="4">
        <v>1</v>
      </c>
      <c r="F3" s="4">
        <v>0</v>
      </c>
      <c r="G3" s="4">
        <v>0</v>
      </c>
      <c r="H3" s="4">
        <v>0</v>
      </c>
      <c r="I3" s="4">
        <v>0</v>
      </c>
      <c r="J3" s="4">
        <v>0</v>
      </c>
    </row>
    <row r="4" spans="1:10" x14ac:dyDescent="0.35">
      <c r="B4" s="7" t="s">
        <v>29</v>
      </c>
      <c r="C4" s="8">
        <f>VLOOKUP($A$1,[1]resultados_proyectados_proporci!$A$1:$AA$29,MATCH(C$2,[1]resultados_proyectados_proporci!$A$1:$AA$1,0),FALSE)</f>
        <v>7.9236951022195995E-2</v>
      </c>
      <c r="D4" s="8">
        <f>VLOOKUP($A$1,[1]resultados_proyectados_proporci!$A$1:$AA$29,MATCH(D$2,[1]resultados_proyectados_proporci!$A$1:$AA$1,0),FALSE)</f>
        <v>3.6799651967663903E-2</v>
      </c>
      <c r="E4" s="8">
        <f>VLOOKUP($A$1,[1]resultados_proyectados_proporci!$A$1:$AA$29,MATCH(E$2,[1]resultados_proyectados_proporci!$A$1:$AA$1,0),FALSE)</f>
        <v>7.8366870182150807E-3</v>
      </c>
      <c r="F4" s="8">
        <f>VLOOKUP($A$1,[1]resultados_proyectados_proporci!$A$1:$AA$29,MATCH(F$2,[1]resultados_proyectados_proporci!$A$1:$AA$1,0),FALSE)</f>
        <v>0.100604586994675</v>
      </c>
      <c r="G4" s="8">
        <f>VLOOKUP($A$1,[1]resultados_proyectados_proporci!$A$1:$AA$29,MATCH(G$2,[1]resultados_proyectados_proporci!$A$1:$AA$1,0),FALSE)</f>
        <v>8.3374304605766905E-2</v>
      </c>
      <c r="H4" s="8">
        <f>VLOOKUP($A$1,[1]resultados_proyectados_proporci!$A$1:$AA$29,MATCH(H$2,[1]resultados_proyectados_proporci!$A$1:$AA$1,0),FALSE)</f>
        <v>8.44067806710945E-2</v>
      </c>
      <c r="I4" s="8">
        <f>VLOOKUP($A$1,[1]resultados_proyectados_proporci!$A$1:$AA$29,MATCH(I$2,[1]resultados_proyectados_proporci!$A$1:$AA$1,0),FALSE)</f>
        <v>0.100997911210038</v>
      </c>
      <c r="J4" s="8">
        <f>VLOOKUP($A$1,[1]resultados_proyectados_proporci!$A$1:$AA$29,MATCH(J$2,[1]resultados_proyectados_proporci!$A$1:$AA$1,0),FALSE)</f>
        <v>6.4700343562742596E-2</v>
      </c>
    </row>
    <row r="5" spans="1:10"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0</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row>
    <row r="6" spans="1:10"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row>
    <row r="7" spans="1:10"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row>
    <row r="8" spans="1:10"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row>
    <row r="10" spans="1:10"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0</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0</v>
      </c>
    </row>
    <row r="13" spans="1:10" ht="15" thickBot="1" x14ac:dyDescent="0.4"/>
    <row r="14" spans="1:10" ht="14.5" customHeight="1" x14ac:dyDescent="0.35">
      <c r="B14" s="34" t="s">
        <v>64</v>
      </c>
      <c r="C14" s="35"/>
      <c r="D14" s="35"/>
      <c r="E14" s="35"/>
      <c r="F14" s="35"/>
      <c r="G14" s="35"/>
      <c r="H14" s="35"/>
      <c r="I14" s="35"/>
      <c r="J14" s="36"/>
    </row>
    <row r="15" spans="1:10" x14ac:dyDescent="0.35">
      <c r="B15" s="37"/>
      <c r="C15" s="38"/>
      <c r="D15" s="38"/>
      <c r="E15" s="38"/>
      <c r="F15" s="38"/>
      <c r="G15" s="38"/>
      <c r="H15" s="38"/>
      <c r="I15" s="38"/>
      <c r="J15" s="39"/>
    </row>
    <row r="16" spans="1:10" x14ac:dyDescent="0.35">
      <c r="B16" s="37"/>
      <c r="C16" s="38"/>
      <c r="D16" s="38"/>
      <c r="E16" s="38"/>
      <c r="F16" s="38"/>
      <c r="G16" s="38"/>
      <c r="H16" s="38"/>
      <c r="I16" s="38"/>
      <c r="J16" s="39"/>
    </row>
    <row r="17" spans="2:10" x14ac:dyDescent="0.35">
      <c r="B17" s="37"/>
      <c r="C17" s="38"/>
      <c r="D17" s="38"/>
      <c r="E17" s="38"/>
      <c r="F17" s="38"/>
      <c r="G17" s="38"/>
      <c r="H17" s="38"/>
      <c r="I17" s="38"/>
      <c r="J17" s="39"/>
    </row>
    <row r="18" spans="2:10" x14ac:dyDescent="0.35">
      <c r="B18" s="37"/>
      <c r="C18" s="38"/>
      <c r="D18" s="38"/>
      <c r="E18" s="38"/>
      <c r="F18" s="38"/>
      <c r="G18" s="38"/>
      <c r="H18" s="38"/>
      <c r="I18" s="38"/>
      <c r="J18" s="39"/>
    </row>
    <row r="19" spans="2:10" x14ac:dyDescent="0.35">
      <c r="B19" s="37"/>
      <c r="C19" s="38"/>
      <c r="D19" s="38"/>
      <c r="E19" s="38"/>
      <c r="F19" s="38"/>
      <c r="G19" s="38"/>
      <c r="H19" s="38"/>
      <c r="I19" s="38"/>
      <c r="J19" s="39"/>
    </row>
    <row r="20" spans="2:10" x14ac:dyDescent="0.35">
      <c r="B20" s="37"/>
      <c r="C20" s="38"/>
      <c r="D20" s="38"/>
      <c r="E20" s="38"/>
      <c r="F20" s="38"/>
      <c r="G20" s="38"/>
      <c r="H20" s="38"/>
      <c r="I20" s="38"/>
      <c r="J20" s="39"/>
    </row>
    <row r="21" spans="2:10" x14ac:dyDescent="0.35">
      <c r="B21" s="37"/>
      <c r="C21" s="38"/>
      <c r="D21" s="38"/>
      <c r="E21" s="38"/>
      <c r="F21" s="38"/>
      <c r="G21" s="38"/>
      <c r="H21" s="38"/>
      <c r="I21" s="38"/>
      <c r="J21" s="39"/>
    </row>
    <row r="22" spans="2:10" x14ac:dyDescent="0.35">
      <c r="B22" s="37"/>
      <c r="C22" s="38"/>
      <c r="D22" s="38"/>
      <c r="E22" s="38"/>
      <c r="F22" s="38"/>
      <c r="G22" s="38"/>
      <c r="H22" s="38"/>
      <c r="I22" s="38"/>
      <c r="J22" s="39"/>
    </row>
    <row r="23" spans="2:10" ht="118.5" customHeight="1" thickBot="1" x14ac:dyDescent="0.4">
      <c r="B23" s="40"/>
      <c r="C23" s="41"/>
      <c r="D23" s="41"/>
      <c r="E23" s="41"/>
      <c r="F23" s="41"/>
      <c r="G23" s="41"/>
      <c r="H23" s="41"/>
      <c r="I23" s="41"/>
      <c r="J23" s="42"/>
    </row>
  </sheetData>
  <mergeCells count="1">
    <mergeCell ref="B14:J23"/>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Resumen de Pactos</vt:lpstr>
      <vt:lpstr>D3</vt:lpstr>
      <vt:lpstr>D5</vt:lpstr>
      <vt:lpstr>D6</vt:lpstr>
      <vt:lpstr>D7</vt:lpstr>
      <vt:lpstr>D9</vt:lpstr>
      <vt:lpstr>D8</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Iván Zimmermann Rodríguez-Peña</cp:lastModifiedBy>
  <cp:lastPrinted>2025-01-13T00:53:30Z</cp:lastPrinted>
  <dcterms:created xsi:type="dcterms:W3CDTF">2024-12-22T23:53:50Z</dcterms:created>
  <dcterms:modified xsi:type="dcterms:W3CDTF">2025-01-14T02:08:55Z</dcterms:modified>
</cp:coreProperties>
</file>