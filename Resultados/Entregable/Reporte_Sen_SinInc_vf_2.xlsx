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Ivan\Laboral\EstrategiaSur\GitProjects\Proyeccion-electoral-congreso\Resultados\Entregable\"/>
    </mc:Choice>
  </mc:AlternateContent>
  <xr:revisionPtr revIDLastSave="0" documentId="13_ncr:1_{4ADB33C8-D4CB-4DC2-9528-DBB4C5BA16A4}" xr6:coauthVersionLast="47" xr6:coauthVersionMax="47" xr10:uidLastSave="{00000000-0000-0000-0000-000000000000}"/>
  <bookViews>
    <workbookView xWindow="-110" yWindow="-110" windowWidth="19420" windowHeight="11500" xr2:uid="{85AAF8D7-1A96-46DE-A921-B4694576F524}"/>
  </bookViews>
  <sheets>
    <sheet name="Resumen de Pactos" sheetId="34" r:id="rId1"/>
    <sheet name="C15" sheetId="1" r:id="rId2"/>
    <sheet name="C1" sheetId="16" r:id="rId3"/>
    <sheet name="C3" sheetId="17" r:id="rId4"/>
    <sheet name="C5" sheetId="18" r:id="rId5"/>
    <sheet name="C7" sheetId="20" r:id="rId6"/>
    <sheet name="C9" sheetId="19" r:id="rId7"/>
    <sheet name="C11" sheetId="2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4" i="16"/>
  <c r="C4" i="18"/>
  <c r="C4" i="20"/>
  <c r="C4" i="19"/>
  <c r="C4" i="21"/>
  <c r="C4" i="17"/>
  <c r="H4" i="16"/>
  <c r="G4" i="16"/>
  <c r="F4" i="16"/>
  <c r="E4" i="16"/>
  <c r="D4" i="16"/>
  <c r="H4" i="17"/>
  <c r="G4" i="17"/>
  <c r="F4" i="17"/>
  <c r="E4" i="17"/>
  <c r="D4" i="17"/>
  <c r="I4" i="18"/>
  <c r="H4" i="18"/>
  <c r="G4" i="18"/>
  <c r="F4" i="18"/>
  <c r="E4" i="18"/>
  <c r="D4" i="18"/>
  <c r="K4" i="20"/>
  <c r="J4" i="20"/>
  <c r="I4" i="20"/>
  <c r="H4" i="20"/>
  <c r="G4" i="20"/>
  <c r="F4" i="20"/>
  <c r="E4" i="20"/>
  <c r="D4" i="20"/>
  <c r="I4" i="19"/>
  <c r="H4" i="19"/>
  <c r="G4" i="19"/>
  <c r="F4" i="19"/>
  <c r="E4" i="19"/>
  <c r="D4" i="19"/>
  <c r="H4" i="21"/>
  <c r="G4" i="21"/>
  <c r="F4" i="21"/>
  <c r="E4" i="21"/>
  <c r="D4" i="21"/>
  <c r="I4" i="1"/>
  <c r="H4" i="1"/>
  <c r="G4" i="1"/>
  <c r="F4" i="1"/>
  <c r="E4" i="1"/>
  <c r="D4" i="1"/>
  <c r="D5" i="21"/>
  <c r="D6" i="21"/>
  <c r="D7" i="21"/>
  <c r="D8" i="21"/>
  <c r="D9" i="21"/>
  <c r="D10" i="21"/>
  <c r="D11" i="21"/>
  <c r="D12" i="21"/>
  <c r="I11" i="1"/>
  <c r="H11" i="1"/>
  <c r="G11" i="1"/>
  <c r="F11" i="1"/>
  <c r="E11" i="1"/>
  <c r="D11" i="1"/>
  <c r="C11" i="1"/>
  <c r="H11" i="16"/>
  <c r="G11" i="16"/>
  <c r="F11" i="16"/>
  <c r="E11" i="16"/>
  <c r="D11" i="16"/>
  <c r="C11" i="16"/>
  <c r="H11" i="17"/>
  <c r="G11" i="17"/>
  <c r="F11" i="17"/>
  <c r="E11" i="17"/>
  <c r="D11" i="17"/>
  <c r="C11" i="17"/>
  <c r="I11" i="18"/>
  <c r="H11" i="18"/>
  <c r="G11" i="18"/>
  <c r="F11" i="18"/>
  <c r="E11" i="18"/>
  <c r="D11" i="18"/>
  <c r="C11" i="18"/>
  <c r="K11" i="20"/>
  <c r="J11" i="20"/>
  <c r="I11" i="20"/>
  <c r="H11" i="20"/>
  <c r="G11" i="20"/>
  <c r="F11" i="20"/>
  <c r="E11" i="20"/>
  <c r="D11" i="20"/>
  <c r="C11" i="20"/>
  <c r="H11" i="21"/>
  <c r="G11" i="21"/>
  <c r="F11" i="21"/>
  <c r="E11" i="21"/>
  <c r="C11" i="21"/>
  <c r="I11" i="19"/>
  <c r="H11" i="19"/>
  <c r="G11" i="19"/>
  <c r="F11" i="19"/>
  <c r="E11" i="19"/>
  <c r="D11" i="19"/>
  <c r="C11" i="19"/>
  <c r="I12" i="19"/>
  <c r="H12" i="19"/>
  <c r="G12" i="19"/>
  <c r="F12" i="19"/>
  <c r="E12" i="19"/>
  <c r="D12" i="19"/>
  <c r="C12" i="19"/>
  <c r="I12" i="1"/>
  <c r="H12" i="1"/>
  <c r="G12" i="1"/>
  <c r="F12" i="1"/>
  <c r="E12" i="1"/>
  <c r="D12" i="1"/>
  <c r="C12" i="1"/>
  <c r="H12" i="16"/>
  <c r="G12" i="16"/>
  <c r="F12" i="16"/>
  <c r="E12" i="16"/>
  <c r="D12" i="16"/>
  <c r="C12" i="16"/>
  <c r="H12" i="17"/>
  <c r="G12" i="17"/>
  <c r="F12" i="17"/>
  <c r="E12" i="17"/>
  <c r="D12" i="17"/>
  <c r="C12" i="17"/>
  <c r="I12" i="18"/>
  <c r="H12" i="18"/>
  <c r="G12" i="18"/>
  <c r="F12" i="18"/>
  <c r="E12" i="18"/>
  <c r="D12" i="18"/>
  <c r="C12" i="18"/>
  <c r="K12" i="20"/>
  <c r="J12" i="20"/>
  <c r="I12" i="20"/>
  <c r="H12" i="20"/>
  <c r="G12" i="20"/>
  <c r="F12" i="20"/>
  <c r="E12" i="20"/>
  <c r="D12" i="20"/>
  <c r="C12" i="20"/>
  <c r="H12" i="21"/>
  <c r="G12" i="21"/>
  <c r="F12" i="21"/>
  <c r="E12" i="21"/>
  <c r="C12" i="21"/>
  <c r="H10" i="21"/>
  <c r="G10" i="21"/>
  <c r="F10" i="21"/>
  <c r="E10" i="21"/>
  <c r="C10" i="21"/>
  <c r="I10" i="19"/>
  <c r="H10" i="19"/>
  <c r="G10" i="19"/>
  <c r="F10" i="19"/>
  <c r="E10" i="19"/>
  <c r="D10" i="19"/>
  <c r="C10" i="19"/>
  <c r="I10" i="1"/>
  <c r="H10" i="1"/>
  <c r="G10" i="1"/>
  <c r="F10" i="1"/>
  <c r="E10" i="1"/>
  <c r="D10" i="1"/>
  <c r="C10" i="1"/>
  <c r="H10" i="16"/>
  <c r="G10" i="16"/>
  <c r="F10" i="16"/>
  <c r="E10" i="16"/>
  <c r="D10" i="16"/>
  <c r="C10" i="16"/>
  <c r="H10" i="17"/>
  <c r="G10" i="17"/>
  <c r="F10" i="17"/>
  <c r="E10" i="17"/>
  <c r="D10" i="17"/>
  <c r="C10" i="17"/>
  <c r="I10" i="18"/>
  <c r="H10" i="18"/>
  <c r="G10" i="18"/>
  <c r="F10" i="18"/>
  <c r="E10" i="18"/>
  <c r="D10" i="18"/>
  <c r="C10" i="18"/>
  <c r="K10" i="20"/>
  <c r="J10" i="20"/>
  <c r="I10" i="20"/>
  <c r="H10" i="20"/>
  <c r="G10" i="20"/>
  <c r="F10" i="20"/>
  <c r="E10" i="20"/>
  <c r="D10" i="20"/>
  <c r="C10" i="20"/>
  <c r="K9" i="20"/>
  <c r="J9" i="20"/>
  <c r="I9" i="20"/>
  <c r="H9" i="20"/>
  <c r="G9" i="20"/>
  <c r="F9" i="20"/>
  <c r="E9" i="20"/>
  <c r="D9" i="20"/>
  <c r="C9" i="20"/>
  <c r="H9" i="21"/>
  <c r="G9" i="21"/>
  <c r="F9" i="21"/>
  <c r="E9" i="21"/>
  <c r="C9" i="21"/>
  <c r="I9" i="19"/>
  <c r="H9" i="19"/>
  <c r="G9" i="19"/>
  <c r="F9" i="19"/>
  <c r="E9" i="19"/>
  <c r="D9" i="19"/>
  <c r="C9" i="19"/>
  <c r="I9" i="1"/>
  <c r="H9" i="1"/>
  <c r="G9" i="1"/>
  <c r="F9" i="1"/>
  <c r="E9" i="1"/>
  <c r="D9" i="1"/>
  <c r="C9" i="1"/>
  <c r="H9" i="16"/>
  <c r="G9" i="16"/>
  <c r="F9" i="16"/>
  <c r="E9" i="16"/>
  <c r="D9" i="16"/>
  <c r="C9" i="16"/>
  <c r="H9" i="17"/>
  <c r="G9" i="17"/>
  <c r="F9" i="17"/>
  <c r="E9" i="17"/>
  <c r="D9" i="17"/>
  <c r="C9" i="17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K8" i="20"/>
  <c r="J8" i="20"/>
  <c r="I8" i="20"/>
  <c r="H8" i="20"/>
  <c r="G8" i="20"/>
  <c r="F8" i="20"/>
  <c r="E8" i="20"/>
  <c r="D8" i="20"/>
  <c r="C8" i="20"/>
  <c r="H8" i="21"/>
  <c r="G8" i="21"/>
  <c r="F8" i="21"/>
  <c r="E8" i="21"/>
  <c r="C8" i="21"/>
  <c r="I8" i="19"/>
  <c r="H8" i="19"/>
  <c r="G8" i="19"/>
  <c r="F8" i="19"/>
  <c r="E8" i="19"/>
  <c r="D8" i="19"/>
  <c r="C8" i="19"/>
  <c r="I8" i="1"/>
  <c r="H8" i="1"/>
  <c r="G8" i="1"/>
  <c r="F8" i="1"/>
  <c r="E8" i="1"/>
  <c r="D8" i="1"/>
  <c r="C8" i="1"/>
  <c r="H8" i="16"/>
  <c r="G8" i="16"/>
  <c r="F8" i="16"/>
  <c r="E8" i="16"/>
  <c r="D8" i="16"/>
  <c r="C8" i="16"/>
  <c r="H8" i="17"/>
  <c r="G8" i="17"/>
  <c r="F8" i="17"/>
  <c r="E8" i="17"/>
  <c r="D8" i="17"/>
  <c r="C8" i="17"/>
  <c r="H7" i="17"/>
  <c r="G7" i="17"/>
  <c r="F7" i="17"/>
  <c r="E7" i="17"/>
  <c r="D7" i="17"/>
  <c r="C7" i="17"/>
  <c r="I7" i="18"/>
  <c r="H7" i="18"/>
  <c r="G7" i="18"/>
  <c r="F7" i="18"/>
  <c r="E7" i="18"/>
  <c r="D7" i="18"/>
  <c r="C7" i="18"/>
  <c r="K7" i="20"/>
  <c r="J7" i="20"/>
  <c r="I7" i="20"/>
  <c r="H7" i="20"/>
  <c r="G7" i="20"/>
  <c r="F7" i="20"/>
  <c r="E7" i="20"/>
  <c r="D7" i="20"/>
  <c r="C7" i="20"/>
  <c r="H7" i="21"/>
  <c r="G7" i="21"/>
  <c r="F7" i="21"/>
  <c r="E7" i="21"/>
  <c r="C7" i="21"/>
  <c r="I7" i="19"/>
  <c r="H7" i="19"/>
  <c r="G7" i="19"/>
  <c r="F7" i="19"/>
  <c r="E7" i="19"/>
  <c r="D7" i="19"/>
  <c r="C7" i="19"/>
  <c r="I7" i="1"/>
  <c r="H7" i="1"/>
  <c r="G7" i="1"/>
  <c r="F7" i="1"/>
  <c r="E7" i="1"/>
  <c r="D7" i="1"/>
  <c r="C7" i="1"/>
  <c r="H7" i="16"/>
  <c r="G7" i="16"/>
  <c r="F7" i="16"/>
  <c r="E7" i="16"/>
  <c r="D7" i="16"/>
  <c r="C7" i="16"/>
  <c r="H6" i="16"/>
  <c r="G6" i="16"/>
  <c r="F6" i="16"/>
  <c r="E6" i="16"/>
  <c r="D6" i="16"/>
  <c r="C6" i="16"/>
  <c r="H6" i="17"/>
  <c r="G6" i="17"/>
  <c r="F6" i="17"/>
  <c r="E6" i="17"/>
  <c r="D6" i="17"/>
  <c r="C6" i="17"/>
  <c r="I6" i="18"/>
  <c r="H6" i="18"/>
  <c r="G6" i="18"/>
  <c r="F6" i="18"/>
  <c r="E6" i="18"/>
  <c r="D6" i="18"/>
  <c r="C6" i="18"/>
  <c r="K6" i="20"/>
  <c r="J6" i="20"/>
  <c r="I6" i="20"/>
  <c r="H6" i="20"/>
  <c r="G6" i="20"/>
  <c r="F6" i="20"/>
  <c r="E6" i="20"/>
  <c r="D6" i="20"/>
  <c r="C6" i="20"/>
  <c r="H6" i="21"/>
  <c r="G6" i="21"/>
  <c r="F6" i="21"/>
  <c r="E6" i="21"/>
  <c r="C6" i="21"/>
  <c r="I6" i="19"/>
  <c r="H6" i="19"/>
  <c r="G6" i="19"/>
  <c r="F6" i="19"/>
  <c r="E6" i="19"/>
  <c r="D6" i="19"/>
  <c r="C6" i="19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H5" i="16"/>
  <c r="G5" i="16"/>
  <c r="F5" i="16"/>
  <c r="E5" i="16"/>
  <c r="D5" i="16"/>
  <c r="C5" i="16"/>
  <c r="H5" i="17"/>
  <c r="G5" i="17"/>
  <c r="F5" i="17"/>
  <c r="E5" i="17"/>
  <c r="D5" i="17"/>
  <c r="C5" i="17"/>
  <c r="I5" i="18"/>
  <c r="H5" i="18"/>
  <c r="G5" i="18"/>
  <c r="F5" i="18"/>
  <c r="E5" i="18"/>
  <c r="D5" i="18"/>
  <c r="C5" i="18"/>
  <c r="K5" i="20"/>
  <c r="J5" i="20"/>
  <c r="I5" i="20"/>
  <c r="H5" i="20"/>
  <c r="G5" i="20"/>
  <c r="F5" i="20"/>
  <c r="E5" i="20"/>
  <c r="D5" i="20"/>
  <c r="C5" i="20"/>
  <c r="H5" i="21"/>
  <c r="G5" i="21"/>
  <c r="F5" i="21"/>
  <c r="E5" i="21"/>
  <c r="C5" i="21"/>
  <c r="I5" i="19"/>
  <c r="H5" i="19"/>
  <c r="G5" i="19"/>
  <c r="F5" i="19"/>
  <c r="E5" i="19"/>
  <c r="D5" i="19"/>
  <c r="C5" i="19"/>
</calcChain>
</file>

<file path=xl/sharedStrings.xml><?xml version="1.0" encoding="utf-8"?>
<sst xmlns="http://schemas.openxmlformats.org/spreadsheetml/2006/main" count="600" uniqueCount="67">
  <si>
    <t>Esc</t>
  </si>
  <si>
    <t>Actual</t>
  </si>
  <si>
    <t>Partidos</t>
  </si>
  <si>
    <t>Convencion</t>
  </si>
  <si>
    <t>Consejo</t>
  </si>
  <si>
    <t>Municipal</t>
  </si>
  <si>
    <t>Escenario</t>
  </si>
  <si>
    <t>Descripción</t>
  </si>
  <si>
    <t>Convención</t>
  </si>
  <si>
    <t>Mismos pactos del consejo. Aquellos partidos que no participaron de esta elección fueron distribuidos en pactos aparte</t>
  </si>
  <si>
    <t>Pactos a concejales de la última elección municipal.</t>
  </si>
  <si>
    <t>FA</t>
  </si>
  <si>
    <t>FREVS</t>
  </si>
  <si>
    <t>PSC</t>
  </si>
  <si>
    <t>PPD</t>
  </si>
  <si>
    <t>RN</t>
  </si>
  <si>
    <t>PL</t>
  </si>
  <si>
    <t>PCCH</t>
  </si>
  <si>
    <t>PDG</t>
  </si>
  <si>
    <t>REPUBLICANO</t>
  </si>
  <si>
    <t>PDC</t>
  </si>
  <si>
    <t>PR</t>
  </si>
  <si>
    <t>PS</t>
  </si>
  <si>
    <t>UDI</t>
  </si>
  <si>
    <t>DEMOCRATAS</t>
  </si>
  <si>
    <t>IND</t>
  </si>
  <si>
    <t>EVOPOLI</t>
  </si>
  <si>
    <t>AMARILLOS</t>
  </si>
  <si>
    <t>Simulacion</t>
  </si>
  <si>
    <t>Simulación</t>
  </si>
  <si>
    <t>Mismos pactos de la convención. Para aquellos partidos no constituidos en su época se tomaron supuestos de acuerdo a los candidatos que se llevaron en cada pacto. Por ejemplo, Republicanos va dentro de CHV y Amarillos y Democratas dentro de SD</t>
  </si>
  <si>
    <t>Personalizado 1 CHV+</t>
  </si>
  <si>
    <t>Personalizado 1 CHV</t>
  </si>
  <si>
    <t>Personalizado 2 CHV+</t>
  </si>
  <si>
    <t>Personalizado 2 CHV</t>
  </si>
  <si>
    <t>Pacto creado a criterio experto donde Amarillos y democratas van en pacto con CHV</t>
  </si>
  <si>
    <t>Pacto creado a criterio experto donde Amarillos y democratas van en pacto separado con CHV</t>
  </si>
  <si>
    <t>PH</t>
  </si>
  <si>
    <t>AH</t>
  </si>
  <si>
    <t>PAVP</t>
  </si>
  <si>
    <t>Partido</t>
  </si>
  <si>
    <t>Pacto</t>
  </si>
  <si>
    <t>p1</t>
  </si>
  <si>
    <t>p2</t>
  </si>
  <si>
    <t>p3</t>
  </si>
  <si>
    <t>PTR</t>
  </si>
  <si>
    <t>p4</t>
  </si>
  <si>
    <t>p5</t>
  </si>
  <si>
    <t>p6</t>
  </si>
  <si>
    <t>POPULAR</t>
  </si>
  <si>
    <t>p7</t>
  </si>
  <si>
    <t>IGUALDAD</t>
  </si>
  <si>
    <t>p8</t>
  </si>
  <si>
    <t>p9</t>
  </si>
  <si>
    <t>p10</t>
  </si>
  <si>
    <t>p11</t>
  </si>
  <si>
    <t>p12</t>
  </si>
  <si>
    <t>p13</t>
  </si>
  <si>
    <t>p14</t>
  </si>
  <si>
    <t>Pactos creados a criterio experto donde Amarillos y democratas van en pacto con CHV</t>
  </si>
  <si>
    <t>REP</t>
  </si>
  <si>
    <t>DEM</t>
  </si>
  <si>
    <t>EVO</t>
  </si>
  <si>
    <r>
      <rPr>
        <b/>
        <sz val="11"/>
        <color theme="1"/>
        <rFont val="Aptos Narrow"/>
        <family val="2"/>
        <scheme val="minor"/>
      </rPr>
      <t xml:space="preserve">
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</t>
    </r>
  </si>
  <si>
    <r>
      <rPr>
        <b/>
        <sz val="11"/>
        <color theme="1"/>
        <rFont val="Aptos Narrow"/>
        <family val="2"/>
        <scheme val="minor"/>
      </rPr>
      <t xml:space="preserve">
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
</t>
    </r>
  </si>
  <si>
    <t>Personalizado 3 CHV+</t>
  </si>
  <si>
    <t>Personalizado 3 CHV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</si>
</sst>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A3A3A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58DF3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  <xf numFmtId="0" fontId="2" fillId="3" borderId="2" xfId="0" applyFont="1" applyFill="1" applyBorder="1"/>
    <xf numFmtId="10" fontId="2" fillId="3" borderId="2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8" borderId="13" xfId="0" applyFill="1" applyBorder="1"/>
    <xf numFmtId="0" fontId="0" fillId="9" borderId="13" xfId="0" applyFill="1" applyBorder="1"/>
    <xf numFmtId="0" fontId="0" fillId="10" borderId="13" xfId="0" applyFill="1" applyBorder="1"/>
    <xf numFmtId="0" fontId="0" fillId="10" borderId="15" xfId="0" applyFill="1" applyBorder="1"/>
    <xf numFmtId="0" fontId="0" fillId="0" borderId="16" xfId="0" applyBorder="1" applyAlignment="1">
      <alignment horizontal="center"/>
    </xf>
    <xf numFmtId="0" fontId="0" fillId="11" borderId="13" xfId="0" applyFill="1" applyBorder="1"/>
    <xf numFmtId="0" fontId="0" fillId="11" borderId="15" xfId="0" applyFill="1" applyBorder="1"/>
    <xf numFmtId="0" fontId="0" fillId="12" borderId="13" xfId="0" applyFill="1" applyBorder="1"/>
    <xf numFmtId="0" fontId="0" fillId="13" borderId="13" xfId="0" applyFill="1" applyBorder="1"/>
    <xf numFmtId="0" fontId="0" fillId="14" borderId="13" xfId="0" applyFill="1" applyBorder="1"/>
    <xf numFmtId="0" fontId="0" fillId="15" borderId="13" xfId="0" applyFill="1" applyBorder="1"/>
    <xf numFmtId="0" fontId="4" fillId="16" borderId="13" xfId="0" applyFont="1" applyFill="1" applyBorder="1"/>
    <xf numFmtId="0" fontId="0" fillId="0" borderId="15" xfId="0" applyBorder="1"/>
    <xf numFmtId="0" fontId="0" fillId="12" borderId="15" xfId="0" applyFill="1" applyBorder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justify" vertical="top" wrapText="1"/>
    </xf>
    <xf numFmtId="0" fontId="0" fillId="0" borderId="6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0" fillId="0" borderId="10" xfId="0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0" fillId="0" borderId="12" xfId="0" applyBorder="1" applyAlignment="1">
      <alignment horizontal="justify" vertical="top" wrapText="1"/>
    </xf>
    <xf numFmtId="0" fontId="0" fillId="5" borderId="15" xfId="0" applyFill="1" applyBorder="1"/>
  </cellXfs>
  <cellStyles count="2">
    <cellStyle name="Normal" xfId="0" builtinId="0"/>
    <cellStyle name="Porcentaje" xfId="1" builtinId="5"/>
  </cellStyles>
  <dxfs count="142"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ABAB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ABAB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ABAB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3A3A3A"/>
      <color rgb="FF058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28</xdr:row>
      <xdr:rowOff>813</xdr:rowOff>
    </xdr:from>
    <xdr:to>
      <xdr:col>3</xdr:col>
      <xdr:colOff>0</xdr:colOff>
      <xdr:row>31</xdr:row>
      <xdr:rowOff>7249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F3A663-302B-474D-B855-90085DC0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5950763"/>
          <a:ext cx="4448174" cy="558886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28</xdr:row>
      <xdr:rowOff>813</xdr:rowOff>
    </xdr:from>
    <xdr:to>
      <xdr:col>6</xdr:col>
      <xdr:colOff>3454400</xdr:colOff>
      <xdr:row>31</xdr:row>
      <xdr:rowOff>7249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8F69C-99A1-4B35-89D8-63384514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1" y="5950763"/>
          <a:ext cx="4444999" cy="558886"/>
        </a:xfrm>
        <a:prstGeom prst="rect">
          <a:avLst/>
        </a:prstGeom>
      </xdr:spPr>
    </xdr:pic>
    <xdr:clientData/>
  </xdr:twoCellAnchor>
  <xdr:twoCellAnchor editAs="oneCell">
    <xdr:from>
      <xdr:col>9</xdr:col>
      <xdr:colOff>34926</xdr:colOff>
      <xdr:row>28</xdr:row>
      <xdr:rowOff>813</xdr:rowOff>
    </xdr:from>
    <xdr:to>
      <xdr:col>10</xdr:col>
      <xdr:colOff>3454400</xdr:colOff>
      <xdr:row>31</xdr:row>
      <xdr:rowOff>10424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BEE721-E41E-46AC-B586-4B9E8D0D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6526" y="59507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13</xdr:col>
      <xdr:colOff>44451</xdr:colOff>
      <xdr:row>28</xdr:row>
      <xdr:rowOff>813</xdr:rowOff>
    </xdr:from>
    <xdr:to>
      <xdr:col>14</xdr:col>
      <xdr:colOff>3463925</xdr:colOff>
      <xdr:row>31</xdr:row>
      <xdr:rowOff>10424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BAB4AD-AAB0-4AD0-9BAC-67E54A8A4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5851" y="59507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47626</xdr:colOff>
      <xdr:row>28</xdr:row>
      <xdr:rowOff>813</xdr:rowOff>
    </xdr:from>
    <xdr:to>
      <xdr:col>19</xdr:col>
      <xdr:colOff>0</xdr:colOff>
      <xdr:row>31</xdr:row>
      <xdr:rowOff>7249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C8AB2C-BC0B-4755-9205-1E346D1A9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88826" y="5950763"/>
          <a:ext cx="4448174" cy="558886"/>
        </a:xfrm>
        <a:prstGeom prst="rect">
          <a:avLst/>
        </a:prstGeom>
      </xdr:spPr>
    </xdr:pic>
    <xdr:clientData/>
  </xdr:twoCellAnchor>
  <xdr:twoCellAnchor editAs="oneCell">
    <xdr:from>
      <xdr:col>21</xdr:col>
      <xdr:colOff>53976</xdr:colOff>
      <xdr:row>28</xdr:row>
      <xdr:rowOff>813</xdr:rowOff>
    </xdr:from>
    <xdr:to>
      <xdr:col>23</xdr:col>
      <xdr:colOff>0</xdr:colOff>
      <xdr:row>31</xdr:row>
      <xdr:rowOff>10424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164040-A36F-457D-BD3C-3ED19886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4976" y="5950763"/>
          <a:ext cx="4441824" cy="562061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47626</xdr:colOff>
      <xdr:row>28</xdr:row>
      <xdr:rowOff>813</xdr:rowOff>
    </xdr:from>
    <xdr:to>
      <xdr:col>27</xdr:col>
      <xdr:colOff>0</xdr:colOff>
      <xdr:row>31</xdr:row>
      <xdr:rowOff>10424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584FDBB-3074-4F12-9312-DD7D3238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28426" y="59507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29</xdr:col>
      <xdr:colOff>19051</xdr:colOff>
      <xdr:row>27</xdr:row>
      <xdr:rowOff>172263</xdr:rowOff>
    </xdr:from>
    <xdr:to>
      <xdr:col>30</xdr:col>
      <xdr:colOff>3438525</xdr:colOff>
      <xdr:row>30</xdr:row>
      <xdr:rowOff>181874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5E8A32D-C928-49DA-867F-D14DC35FF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19651" y="59380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33</xdr:col>
      <xdr:colOff>6351</xdr:colOff>
      <xdr:row>27</xdr:row>
      <xdr:rowOff>172263</xdr:rowOff>
    </xdr:from>
    <xdr:to>
      <xdr:col>34</xdr:col>
      <xdr:colOff>3425825</xdr:colOff>
      <xdr:row>30</xdr:row>
      <xdr:rowOff>181874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A29697-273B-4312-9E2E-AD51AE43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6751" y="5938063"/>
          <a:ext cx="4448174" cy="562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</xdr:colOff>
      <xdr:row>23</xdr:row>
      <xdr:rowOff>104775</xdr:rowOff>
    </xdr:from>
    <xdr:to>
      <xdr:col>8</xdr:col>
      <xdr:colOff>219075</xdr:colOff>
      <xdr:row>26</xdr:row>
      <xdr:rowOff>67262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80DB06-E894-AECA-FE47-748861D1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4991100"/>
          <a:ext cx="3975100" cy="505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263526</xdr:colOff>
      <xdr:row>23</xdr:row>
      <xdr:rowOff>152401</xdr:rowOff>
    </xdr:from>
    <xdr:to>
      <xdr:col>6</xdr:col>
      <xdr:colOff>466726</xdr:colOff>
      <xdr:row>26</xdr:row>
      <xdr:rowOff>19537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617955-3957-418E-B99E-CF140A56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6" y="5248276"/>
          <a:ext cx="3190875" cy="410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23</xdr:row>
      <xdr:rowOff>133350</xdr:rowOff>
    </xdr:from>
    <xdr:to>
      <xdr:col>7</xdr:col>
      <xdr:colOff>35355</xdr:colOff>
      <xdr:row>26</xdr:row>
      <xdr:rowOff>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05455-4542-4D84-9B22-698CE7B7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5362575"/>
          <a:ext cx="3273854" cy="415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24</xdr:row>
      <xdr:rowOff>0</xdr:rowOff>
    </xdr:from>
    <xdr:to>
      <xdr:col>7</xdr:col>
      <xdr:colOff>368300</xdr:colOff>
      <xdr:row>26</xdr:row>
      <xdr:rowOff>111448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24FBEB-7828-4014-B9E9-080EFC3F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038725"/>
          <a:ext cx="3692525" cy="4733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23</xdr:row>
      <xdr:rowOff>120651</xdr:rowOff>
    </xdr:from>
    <xdr:to>
      <xdr:col>10</xdr:col>
      <xdr:colOff>1</xdr:colOff>
      <xdr:row>26</xdr:row>
      <xdr:rowOff>164325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D3495-F09A-48DB-8872-5BFA8D4C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5149851"/>
          <a:ext cx="4581525" cy="5834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23</xdr:row>
      <xdr:rowOff>95250</xdr:rowOff>
    </xdr:from>
    <xdr:to>
      <xdr:col>7</xdr:col>
      <xdr:colOff>439944</xdr:colOff>
      <xdr:row>26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CD07AA-34A7-4ACB-A1C6-3185BC2DE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943475"/>
          <a:ext cx="3659394" cy="466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23</xdr:row>
      <xdr:rowOff>152400</xdr:rowOff>
    </xdr:from>
    <xdr:to>
      <xdr:col>7</xdr:col>
      <xdr:colOff>158750</xdr:colOff>
      <xdr:row>26</xdr:row>
      <xdr:rowOff>59279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5FB40-FF1E-4D78-AFEF-7C28C1D6A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5038725"/>
          <a:ext cx="3581400" cy="4498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proyectados_proporciones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proyectados_proporcione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art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art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Con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Conv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Cons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Cons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Mun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Mun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1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1_CHV1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1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1_CHV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2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2_CHV1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2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2_CHV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proyectados_proporci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2.94921215201552E-2</v>
          </cell>
          <cell r="C2">
            <v>0</v>
          </cell>
          <cell r="D2">
            <v>3.8370273754083598E-2</v>
          </cell>
          <cell r="E2">
            <v>7.7003860909288504E-3</v>
          </cell>
          <cell r="F2">
            <v>3.69628738310364E-2</v>
          </cell>
          <cell r="G2">
            <v>3.5904517253661603E-2</v>
          </cell>
          <cell r="H2">
            <v>3.7122426783395401E-3</v>
          </cell>
          <cell r="I2">
            <v>5.6132701789408403E-4</v>
          </cell>
          <cell r="J2">
            <v>0</v>
          </cell>
          <cell r="K2">
            <v>2.64487084885912E-2</v>
          </cell>
          <cell r="L2">
            <v>5.6262317300813103E-2</v>
          </cell>
          <cell r="M2">
            <v>5.7424774525142802E-2</v>
          </cell>
          <cell r="N2">
            <v>5.8452853463370601E-3</v>
          </cell>
          <cell r="O2">
            <v>1.8447246997155602E-2</v>
          </cell>
          <cell r="P2">
            <v>9.9735904143035594E-3</v>
          </cell>
          <cell r="Q2">
            <v>3.4214412632511397E-2</v>
          </cell>
          <cell r="R2">
            <v>4.3096647244751797E-2</v>
          </cell>
          <cell r="S2">
            <v>2.6841637401117099E-2</v>
          </cell>
          <cell r="T2">
            <v>3.7715052035014497E-2</v>
          </cell>
          <cell r="U2">
            <v>0</v>
          </cell>
          <cell r="V2">
            <v>0.121981463961274</v>
          </cell>
          <cell r="W2">
            <v>9.1851470829876006E-2</v>
          </cell>
          <cell r="X2">
            <v>5.8876060015043502E-2</v>
          </cell>
          <cell r="Y2">
            <v>0.108846411742552</v>
          </cell>
          <cell r="Z2">
            <v>0.149471178919414</v>
          </cell>
        </row>
        <row r="3">
          <cell r="A3">
            <v>2</v>
          </cell>
          <cell r="B3">
            <v>1.19339124020918E-2</v>
          </cell>
          <cell r="C3">
            <v>0</v>
          </cell>
          <cell r="D3">
            <v>3.4290097581162103E-2</v>
          </cell>
          <cell r="E3">
            <v>3.6409073268422097E-2</v>
          </cell>
          <cell r="F3">
            <v>4.0998132428207802E-2</v>
          </cell>
          <cell r="G3">
            <v>5.1359296369277399E-2</v>
          </cell>
          <cell r="H3">
            <v>2.37788417624217E-3</v>
          </cell>
          <cell r="I3">
            <v>0</v>
          </cell>
          <cell r="J3">
            <v>0</v>
          </cell>
          <cell r="K3">
            <v>5.2003619358421502E-2</v>
          </cell>
          <cell r="L3">
            <v>4.3976920157553598E-2</v>
          </cell>
          <cell r="M3">
            <v>5.6756707498804598E-2</v>
          </cell>
          <cell r="N3">
            <v>2.2009901775586899E-3</v>
          </cell>
          <cell r="O3">
            <v>1.25712668397726E-2</v>
          </cell>
          <cell r="P3">
            <v>1.3406420930526699E-3</v>
          </cell>
          <cell r="Q3">
            <v>2.0125712668397699E-2</v>
          </cell>
          <cell r="R3">
            <v>4.6313529067436202E-2</v>
          </cell>
          <cell r="S3">
            <v>3.87097673361479E-2</v>
          </cell>
          <cell r="T3">
            <v>3.8379029162851797E-2</v>
          </cell>
          <cell r="U3">
            <v>0</v>
          </cell>
          <cell r="V3">
            <v>0.101381702942444</v>
          </cell>
          <cell r="W3">
            <v>6.1567688220574998E-2</v>
          </cell>
          <cell r="X3">
            <v>4.0977226773817897E-2</v>
          </cell>
          <cell r="Y3">
            <v>0.12466202525403</v>
          </cell>
          <cell r="Z3">
            <v>0.18166477622373101</v>
          </cell>
        </row>
        <row r="4">
          <cell r="A4">
            <v>3</v>
          </cell>
          <cell r="B4">
            <v>0</v>
          </cell>
          <cell r="C4">
            <v>2.2323885276993902E-2</v>
          </cell>
          <cell r="D4">
            <v>1.09616450830563E-2</v>
          </cell>
          <cell r="E4">
            <v>0</v>
          </cell>
          <cell r="F4">
            <v>3.9417319956760503E-2</v>
          </cell>
          <cell r="G4">
            <v>8.7931659300052895E-2</v>
          </cell>
          <cell r="H4">
            <v>1.52353479068733E-2</v>
          </cell>
          <cell r="I4">
            <v>6.86586981278373E-4</v>
          </cell>
          <cell r="J4">
            <v>0</v>
          </cell>
          <cell r="K4">
            <v>7.5657755490372805E-2</v>
          </cell>
          <cell r="L4">
            <v>1.94526094951365E-2</v>
          </cell>
          <cell r="M4">
            <v>2.72518246178085E-2</v>
          </cell>
          <cell r="N4">
            <v>6.0722509762785003E-3</v>
          </cell>
          <cell r="O4">
            <v>1.4518475384566101E-2</v>
          </cell>
          <cell r="P4">
            <v>1.3000068486621099E-2</v>
          </cell>
          <cell r="Q4">
            <v>3.6495453555229901E-2</v>
          </cell>
          <cell r="R4">
            <v>4.8074510690623899E-2</v>
          </cell>
          <cell r="S4">
            <v>8.2266542358286801E-2</v>
          </cell>
          <cell r="T4">
            <v>2.6145025754755202E-2</v>
          </cell>
          <cell r="U4">
            <v>0</v>
          </cell>
          <cell r="V4">
            <v>7.9563557821464598E-2</v>
          </cell>
          <cell r="W4">
            <v>0.107729110978267</v>
          </cell>
          <cell r="X4">
            <v>5.4669875557400202E-2</v>
          </cell>
          <cell r="Y4">
            <v>0.100040369249575</v>
          </cell>
          <cell r="Z4">
            <v>0.13250612507859599</v>
          </cell>
        </row>
        <row r="5">
          <cell r="A5">
            <v>4</v>
          </cell>
          <cell r="B5">
            <v>8.8372020524635497E-3</v>
          </cell>
          <cell r="C5">
            <v>1.30034388339584E-2</v>
          </cell>
          <cell r="D5">
            <v>2.93165605128635E-2</v>
          </cell>
          <cell r="E5">
            <v>1.2391455540471399E-2</v>
          </cell>
          <cell r="F5">
            <v>4.8881840833870802E-2</v>
          </cell>
          <cell r="G5">
            <v>2.2119726051189802E-2</v>
          </cell>
          <cell r="H5">
            <v>1.85265045548034E-3</v>
          </cell>
          <cell r="I5">
            <v>6.85094699682837E-3</v>
          </cell>
          <cell r="J5">
            <v>0</v>
          </cell>
          <cell r="K5">
            <v>7.4657879442631303E-2</v>
          </cell>
          <cell r="L5">
            <v>6.0643128010278602E-2</v>
          </cell>
          <cell r="M5">
            <v>4.1295697412301498E-2</v>
          </cell>
          <cell r="N5">
            <v>1.85265045548034E-3</v>
          </cell>
          <cell r="O5">
            <v>1.21290709507229E-2</v>
          </cell>
          <cell r="P5">
            <v>1.85265045548034E-3</v>
          </cell>
          <cell r="Q5">
            <v>2.9622366597662299E-2</v>
          </cell>
          <cell r="R5">
            <v>3.3264947571328099E-2</v>
          </cell>
          <cell r="S5">
            <v>5.9224692505301497E-2</v>
          </cell>
          <cell r="T5">
            <v>2.94965555991832E-2</v>
          </cell>
          <cell r="U5">
            <v>0</v>
          </cell>
          <cell r="V5">
            <v>8.8958767393648802E-2</v>
          </cell>
          <cell r="W5">
            <v>9.1046710394957403E-2</v>
          </cell>
          <cell r="X5">
            <v>6.1780622731041297E-2</v>
          </cell>
          <cell r="Y5">
            <v>0.123378281384648</v>
          </cell>
          <cell r="Z5">
            <v>0.14754215781820701</v>
          </cell>
        </row>
        <row r="6">
          <cell r="A6">
            <v>5</v>
          </cell>
          <cell r="B6">
            <v>0</v>
          </cell>
          <cell r="C6">
            <v>6.4869028679831499E-3</v>
          </cell>
          <cell r="D6">
            <v>1.04419722326936E-2</v>
          </cell>
          <cell r="E6">
            <v>1.0727601254744401E-2</v>
          </cell>
          <cell r="F6">
            <v>7.5344175533315502E-2</v>
          </cell>
          <cell r="G6">
            <v>1.99833204552331E-2</v>
          </cell>
          <cell r="H6">
            <v>6.0856833510710903E-3</v>
          </cell>
          <cell r="I6">
            <v>7.8443845483029892E-3</v>
          </cell>
          <cell r="J6">
            <v>0</v>
          </cell>
          <cell r="K6">
            <v>6.1068228740051703E-2</v>
          </cell>
          <cell r="L6">
            <v>4.6696923507655301E-2</v>
          </cell>
          <cell r="M6">
            <v>2.4516491059365299E-2</v>
          </cell>
          <cell r="N6">
            <v>6.0856833510710903E-3</v>
          </cell>
          <cell r="O6">
            <v>1.47460445587225E-2</v>
          </cell>
          <cell r="P6">
            <v>1.6016498646386199E-2</v>
          </cell>
          <cell r="Q6">
            <v>3.3914876005763699E-2</v>
          </cell>
          <cell r="R6">
            <v>3.6716123133481202E-2</v>
          </cell>
          <cell r="S6">
            <v>4.1651405845219397E-2</v>
          </cell>
          <cell r="T6">
            <v>2.4874271162507101E-2</v>
          </cell>
          <cell r="U6">
            <v>0</v>
          </cell>
          <cell r="V6">
            <v>0.1371598002144</v>
          </cell>
          <cell r="W6">
            <v>0.10626961654006201</v>
          </cell>
          <cell r="X6">
            <v>6.4773075180236298E-2</v>
          </cell>
          <cell r="Y6">
            <v>9.6271856942704306E-2</v>
          </cell>
          <cell r="Z6">
            <v>0.152325064869028</v>
          </cell>
        </row>
        <row r="7">
          <cell r="A7">
            <v>6</v>
          </cell>
          <cell r="B7">
            <v>0</v>
          </cell>
          <cell r="C7">
            <v>4.7263351114183901E-3</v>
          </cell>
          <cell r="D7">
            <v>2.6360823979780498E-2</v>
          </cell>
          <cell r="E7">
            <v>9.9077987891215205E-3</v>
          </cell>
          <cell r="F7">
            <v>5.5805300497302701E-2</v>
          </cell>
          <cell r="G7">
            <v>3.3050031450937302E-2</v>
          </cell>
          <cell r="H7">
            <v>0</v>
          </cell>
          <cell r="I7">
            <v>9.7471242621549794E-3</v>
          </cell>
          <cell r="J7">
            <v>1.88666208987711E-2</v>
          </cell>
          <cell r="K7">
            <v>4.45717629705265E-2</v>
          </cell>
          <cell r="L7">
            <v>5.4940718518863702E-2</v>
          </cell>
          <cell r="M7">
            <v>2.3737400786957401E-2</v>
          </cell>
          <cell r="N7">
            <v>0</v>
          </cell>
          <cell r="O7">
            <v>5.3864222373545302E-3</v>
          </cell>
          <cell r="P7">
            <v>0</v>
          </cell>
          <cell r="Q7">
            <v>4.0499023084964801E-2</v>
          </cell>
          <cell r="R7">
            <v>6.3749067658814398E-2</v>
          </cell>
          <cell r="S7">
            <v>7.4840710798139698E-2</v>
          </cell>
          <cell r="T7">
            <v>1.3509644065348299E-2</v>
          </cell>
          <cell r="U7">
            <v>0</v>
          </cell>
          <cell r="V7">
            <v>0.119366798614535</v>
          </cell>
          <cell r="W7">
            <v>0.10256552935532801</v>
          </cell>
          <cell r="X7">
            <v>0.102845608473042</v>
          </cell>
          <cell r="Y7">
            <v>8.2573491207069097E-2</v>
          </cell>
          <cell r="Z7">
            <v>0.112949787239567</v>
          </cell>
        </row>
        <row r="8">
          <cell r="A8">
            <v>7</v>
          </cell>
          <cell r="B8">
            <v>4.1725406165982401E-3</v>
          </cell>
          <cell r="C8">
            <v>9.3335749926337207E-3</v>
          </cell>
          <cell r="D8">
            <v>2.8624667847333099E-2</v>
          </cell>
          <cell r="E8">
            <v>3.2152027618441402E-2</v>
          </cell>
          <cell r="F8">
            <v>4.3984466997937802E-2</v>
          </cell>
          <cell r="G8">
            <v>2.1941509789160499E-2</v>
          </cell>
          <cell r="H8">
            <v>0</v>
          </cell>
          <cell r="I8">
            <v>5.0032960101678301E-3</v>
          </cell>
          <cell r="J8">
            <v>5.0686594898803096E-3</v>
          </cell>
          <cell r="K8">
            <v>3.9371702314506297E-2</v>
          </cell>
          <cell r="L8">
            <v>6.1016292826739503E-2</v>
          </cell>
          <cell r="M8">
            <v>1.77747426029469E-2</v>
          </cell>
          <cell r="N8">
            <v>0</v>
          </cell>
          <cell r="O8">
            <v>8.1075458116546103E-4</v>
          </cell>
          <cell r="P8">
            <v>0</v>
          </cell>
          <cell r="Q8">
            <v>4.0684951533082901E-2</v>
          </cell>
          <cell r="R8">
            <v>7.4653960171165698E-2</v>
          </cell>
          <cell r="S8">
            <v>4.5000590745644699E-2</v>
          </cell>
          <cell r="T8">
            <v>2.46896626522768E-2</v>
          </cell>
          <cell r="U8">
            <v>0</v>
          </cell>
          <cell r="V8">
            <v>9.6292983446956498E-2</v>
          </cell>
          <cell r="W8">
            <v>0.140323225500087</v>
          </cell>
          <cell r="X8">
            <v>0.121224717787506</v>
          </cell>
          <cell r="Y8">
            <v>8.2100242009830099E-2</v>
          </cell>
          <cell r="Z8">
            <v>0.105775430465938</v>
          </cell>
        </row>
        <row r="9">
          <cell r="A9">
            <v>8</v>
          </cell>
          <cell r="B9">
            <v>0</v>
          </cell>
          <cell r="C9">
            <v>9.0700278594555601E-3</v>
          </cell>
          <cell r="D9">
            <v>4.2950330175467302E-2</v>
          </cell>
          <cell r="E9">
            <v>1.84792218255839E-2</v>
          </cell>
          <cell r="F9">
            <v>4.3808763337555803E-2</v>
          </cell>
          <cell r="G9">
            <v>3.2906604546727697E-2</v>
          </cell>
          <cell r="H9">
            <v>2.0465086926803499E-2</v>
          </cell>
          <cell r="I9">
            <v>8.0951774440995404E-3</v>
          </cell>
          <cell r="J9">
            <v>0</v>
          </cell>
          <cell r="K9">
            <v>4.8370216086559101E-2</v>
          </cell>
          <cell r="L9">
            <v>6.4069831909623301E-2</v>
          </cell>
          <cell r="M9">
            <v>3.3127480350265998E-2</v>
          </cell>
          <cell r="N9">
            <v>5.2503028577553996E-4</v>
          </cell>
          <cell r="O9">
            <v>9.4156776002830896E-3</v>
          </cell>
          <cell r="P9">
            <v>5.2503028577553996E-4</v>
          </cell>
          <cell r="Q9">
            <v>2.6173998840438001E-2</v>
          </cell>
          <cell r="R9">
            <v>5.3375293492505999E-2</v>
          </cell>
          <cell r="S9">
            <v>4.9824711348607401E-2</v>
          </cell>
          <cell r="T9">
            <v>6.72030120947152E-2</v>
          </cell>
          <cell r="U9">
            <v>0</v>
          </cell>
          <cell r="V9">
            <v>0.114026088991192</v>
          </cell>
          <cell r="W9">
            <v>7.3919336675238506E-2</v>
          </cell>
          <cell r="X9">
            <v>8.4178463038674697E-2</v>
          </cell>
          <cell r="Y9">
            <v>8.1992757924729903E-2</v>
          </cell>
          <cell r="Z9">
            <v>0.117497858959921</v>
          </cell>
        </row>
        <row r="10">
          <cell r="A10">
            <v>9</v>
          </cell>
          <cell r="B10">
            <v>0</v>
          </cell>
          <cell r="C10">
            <v>2.6399249382519301E-2</v>
          </cell>
          <cell r="D10">
            <v>2.9325182030622999E-2</v>
          </cell>
          <cell r="E10">
            <v>3.2077536649405401E-2</v>
          </cell>
          <cell r="F10">
            <v>5.3475611494803302E-2</v>
          </cell>
          <cell r="G10">
            <v>2.26552142885269E-2</v>
          </cell>
          <cell r="H10">
            <v>0</v>
          </cell>
          <cell r="I10">
            <v>1.6837295151900002E-2</v>
          </cell>
          <cell r="J10">
            <v>0</v>
          </cell>
          <cell r="K10">
            <v>2.1980138328337201E-2</v>
          </cell>
          <cell r="L10">
            <v>4.8912795031730599E-2</v>
          </cell>
          <cell r="M10">
            <v>2.29840394209961E-2</v>
          </cell>
          <cell r="N10">
            <v>0</v>
          </cell>
          <cell r="O10">
            <v>1.7996669655437399E-2</v>
          </cell>
          <cell r="P10">
            <v>0</v>
          </cell>
          <cell r="Q10">
            <v>5.8182133366766503E-2</v>
          </cell>
          <cell r="R10">
            <v>4.8732654078223699E-2</v>
          </cell>
          <cell r="S10">
            <v>4.0948120763236298E-2</v>
          </cell>
          <cell r="T10">
            <v>4.0444359755062602E-2</v>
          </cell>
          <cell r="U10">
            <v>0</v>
          </cell>
          <cell r="V10">
            <v>0.10683580604703299</v>
          </cell>
          <cell r="W10">
            <v>0.13134470695638201</v>
          </cell>
          <cell r="X10">
            <v>8.6972550230132298E-2</v>
          </cell>
          <cell r="Y10">
            <v>9.1207673099388403E-2</v>
          </cell>
          <cell r="Z10">
            <v>0.102688264269494</v>
          </cell>
        </row>
        <row r="11">
          <cell r="A11">
            <v>10</v>
          </cell>
          <cell r="B11">
            <v>0</v>
          </cell>
          <cell r="C11">
            <v>2.0746305758587501E-2</v>
          </cell>
          <cell r="D11">
            <v>0</v>
          </cell>
          <cell r="E11">
            <v>1.07363366169312E-2</v>
          </cell>
          <cell r="F11">
            <v>5.8270382346815502E-2</v>
          </cell>
          <cell r="G11">
            <v>2.23269496028622E-2</v>
          </cell>
          <cell r="H11">
            <v>0</v>
          </cell>
          <cell r="I11">
            <v>1.65015392995553E-2</v>
          </cell>
          <cell r="J11">
            <v>0</v>
          </cell>
          <cell r="K11">
            <v>2.7072757162768801E-2</v>
          </cell>
          <cell r="L11">
            <v>7.4696209917357898E-2</v>
          </cell>
          <cell r="M11">
            <v>2.97417894118309E-2</v>
          </cell>
          <cell r="N11">
            <v>0</v>
          </cell>
          <cell r="O11">
            <v>2.4352819758022198E-2</v>
          </cell>
          <cell r="P11">
            <v>0</v>
          </cell>
          <cell r="Q11">
            <v>3.5278306496583103E-2</v>
          </cell>
          <cell r="R11">
            <v>2.7824706416788601E-2</v>
          </cell>
          <cell r="S11">
            <v>8.1851097509988494E-2</v>
          </cell>
          <cell r="T11">
            <v>2.6434763104976701E-2</v>
          </cell>
          <cell r="U11">
            <v>0</v>
          </cell>
          <cell r="V11">
            <v>0.116297350192845</v>
          </cell>
          <cell r="W11">
            <v>0.11305983397167101</v>
          </cell>
          <cell r="X11">
            <v>0.10099815449430501</v>
          </cell>
          <cell r="Y11">
            <v>0.10282195443756</v>
          </cell>
          <cell r="Z11">
            <v>0.11098874350054801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2.5873495822975202E-2</v>
          </cell>
          <cell r="E12">
            <v>2.23946073691112E-2</v>
          </cell>
          <cell r="F12">
            <v>0</v>
          </cell>
          <cell r="G12">
            <v>2.1793172416070299E-2</v>
          </cell>
          <cell r="H12">
            <v>0</v>
          </cell>
          <cell r="I12">
            <v>0</v>
          </cell>
          <cell r="J12">
            <v>0</v>
          </cell>
          <cell r="K12">
            <v>6.1735529003316102E-2</v>
          </cell>
          <cell r="L12">
            <v>9.1977093583278602E-2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5.6615076912916902E-2</v>
          </cell>
          <cell r="R12">
            <v>6.3910129108036506E-2</v>
          </cell>
          <cell r="S12">
            <v>8.2483855599005604E-2</v>
          </cell>
          <cell r="T12">
            <v>2.0326142844339201E-2</v>
          </cell>
          <cell r="U12">
            <v>0</v>
          </cell>
          <cell r="V12">
            <v>7.8137013958007998E-2</v>
          </cell>
          <cell r="W12">
            <v>0.15242956135343999</v>
          </cell>
          <cell r="X12">
            <v>0.153957913704697</v>
          </cell>
          <cell r="Y12">
            <v>8.0297462652068705E-2</v>
          </cell>
          <cell r="Z12">
            <v>8.8068945672734406E-2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3.3436155846010097E-2</v>
          </cell>
          <cell r="F13">
            <v>7.7490198644765501E-2</v>
          </cell>
          <cell r="G13">
            <v>0</v>
          </cell>
          <cell r="H13">
            <v>0</v>
          </cell>
          <cell r="I13">
            <v>7.0647097668496998E-3</v>
          </cell>
          <cell r="J13">
            <v>0</v>
          </cell>
          <cell r="K13">
            <v>5.9413465485546303E-2</v>
          </cell>
          <cell r="L13">
            <v>6.5028050616042596E-2</v>
          </cell>
          <cell r="M13">
            <v>1.7749525548965101E-2</v>
          </cell>
          <cell r="N13">
            <v>0</v>
          </cell>
          <cell r="O13">
            <v>0</v>
          </cell>
          <cell r="P13">
            <v>0</v>
          </cell>
          <cell r="Q13">
            <v>4.46564022630868E-2</v>
          </cell>
          <cell r="R13">
            <v>8.2639256584309498E-2</v>
          </cell>
          <cell r="S13">
            <v>0.100997090826883</v>
          </cell>
          <cell r="T13">
            <v>2.8303458286978899E-2</v>
          </cell>
          <cell r="U13">
            <v>0</v>
          </cell>
          <cell r="V13">
            <v>0.100134452581668</v>
          </cell>
          <cell r="W13">
            <v>8.5927693067363101E-2</v>
          </cell>
          <cell r="X13">
            <v>5.2802384451094302E-2</v>
          </cell>
          <cell r="Y13">
            <v>0.106982015479894</v>
          </cell>
          <cell r="Z13">
            <v>0.13737514055054101</v>
          </cell>
        </row>
        <row r="14">
          <cell r="A14">
            <v>13</v>
          </cell>
          <cell r="B14">
            <v>1.00094875593052E-2</v>
          </cell>
          <cell r="C14">
            <v>0</v>
          </cell>
          <cell r="D14">
            <v>1.9071504813614099E-2</v>
          </cell>
          <cell r="E14">
            <v>2.78413993776786E-2</v>
          </cell>
          <cell r="F14">
            <v>8.9453610220408597E-2</v>
          </cell>
          <cell r="G14">
            <v>1.9074218911958599E-2</v>
          </cell>
          <cell r="H14">
            <v>2.29636527830656E-3</v>
          </cell>
          <cell r="I14">
            <v>5.9786943994187798E-3</v>
          </cell>
          <cell r="J14">
            <v>3.3853162922716701E-2</v>
          </cell>
          <cell r="K14">
            <v>7.6410903490126802E-2</v>
          </cell>
          <cell r="L14">
            <v>3.3713815399815397E-2</v>
          </cell>
          <cell r="M14">
            <v>2.18004949872567E-2</v>
          </cell>
          <cell r="N14">
            <v>1.53299297825856E-2</v>
          </cell>
          <cell r="O14">
            <v>1.50100352000699E-2</v>
          </cell>
          <cell r="P14">
            <v>2.29636527830656E-3</v>
          </cell>
          <cell r="Q14">
            <v>2.6261187040194599E-2</v>
          </cell>
          <cell r="R14">
            <v>2.3235574486946999E-2</v>
          </cell>
          <cell r="S14">
            <v>5.2216252356578299E-2</v>
          </cell>
          <cell r="T14">
            <v>2.0518440637651601E-2</v>
          </cell>
          <cell r="U14">
            <v>0</v>
          </cell>
          <cell r="V14">
            <v>0.124168177961142</v>
          </cell>
          <cell r="W14">
            <v>9.3413586840594101E-2</v>
          </cell>
          <cell r="X14">
            <v>7.3968536386398706E-2</v>
          </cell>
          <cell r="Y14">
            <v>8.5111802817326901E-2</v>
          </cell>
          <cell r="Z14">
            <v>0.128966453851596</v>
          </cell>
        </row>
        <row r="15">
          <cell r="A15">
            <v>14</v>
          </cell>
          <cell r="B15">
            <v>0</v>
          </cell>
          <cell r="C15">
            <v>1.6540157096204398E-2</v>
          </cell>
          <cell r="D15">
            <v>0</v>
          </cell>
          <cell r="E15">
            <v>2.3485385716802198E-2</v>
          </cell>
          <cell r="F15">
            <v>7.6254669298487301E-2</v>
          </cell>
          <cell r="G15">
            <v>1.72628538391006E-2</v>
          </cell>
          <cell r="H15">
            <v>0</v>
          </cell>
          <cell r="I15">
            <v>3.3537645725022899E-3</v>
          </cell>
          <cell r="J15">
            <v>0</v>
          </cell>
          <cell r="K15">
            <v>4.1970613343691898E-2</v>
          </cell>
          <cell r="L15">
            <v>6.3377116711007098E-2</v>
          </cell>
          <cell r="M15">
            <v>1.05299173867285E-2</v>
          </cell>
          <cell r="N15">
            <v>0</v>
          </cell>
          <cell r="O15">
            <v>0</v>
          </cell>
          <cell r="P15">
            <v>0</v>
          </cell>
          <cell r="Q15">
            <v>8.3298704114402794E-2</v>
          </cell>
          <cell r="R15">
            <v>3.58756826096579E-2</v>
          </cell>
          <cell r="S15">
            <v>9.4074225472350004E-2</v>
          </cell>
          <cell r="T15">
            <v>1.34523223408147E-2</v>
          </cell>
          <cell r="U15">
            <v>0</v>
          </cell>
          <cell r="V15">
            <v>0.12300298564091899</v>
          </cell>
          <cell r="W15">
            <v>0.13955048262591799</v>
          </cell>
          <cell r="X15">
            <v>7.1679095545026203E-2</v>
          </cell>
          <cell r="Y15">
            <v>8.3471473804501498E-2</v>
          </cell>
          <cell r="Z15">
            <v>0.10282054988188399</v>
          </cell>
        </row>
        <row r="16">
          <cell r="A16">
            <v>15</v>
          </cell>
          <cell r="B16">
            <v>2.07625287516554E-2</v>
          </cell>
          <cell r="C16">
            <v>0</v>
          </cell>
          <cell r="D16">
            <v>5.2794312399804803E-2</v>
          </cell>
          <cell r="E16">
            <v>2.5928765595594899E-3</v>
          </cell>
          <cell r="F16">
            <v>2.3508747473339298E-2</v>
          </cell>
          <cell r="G16">
            <v>2.98933574963407E-2</v>
          </cell>
          <cell r="H16">
            <v>4.9980251388211201E-3</v>
          </cell>
          <cell r="I16">
            <v>0</v>
          </cell>
          <cell r="J16">
            <v>0</v>
          </cell>
          <cell r="K16">
            <v>4.73004809367812E-2</v>
          </cell>
          <cell r="L16">
            <v>3.8865268000278799E-2</v>
          </cell>
          <cell r="M16">
            <v>5.07144350735345E-2</v>
          </cell>
          <cell r="N16">
            <v>3.9520921911665598E-2</v>
          </cell>
          <cell r="O16">
            <v>3.4033595873701798E-2</v>
          </cell>
          <cell r="P16">
            <v>9.9258846216398293E-3</v>
          </cell>
          <cell r="Q16">
            <v>1.5695267303268898E-2</v>
          </cell>
          <cell r="R16">
            <v>3.0262772705095101E-2</v>
          </cell>
          <cell r="S16">
            <v>4.2696034014079502E-2</v>
          </cell>
          <cell r="T16">
            <v>2.28758625496619E-2</v>
          </cell>
          <cell r="U16">
            <v>0</v>
          </cell>
          <cell r="V16">
            <v>0.14930229316233301</v>
          </cell>
          <cell r="W16">
            <v>7.8909876629260398E-2</v>
          </cell>
          <cell r="X16">
            <v>5.2674426709416598E-2</v>
          </cell>
          <cell r="Y16">
            <v>9.8612950442601197E-2</v>
          </cell>
          <cell r="Z16">
            <v>0.154060082247159</v>
          </cell>
        </row>
        <row r="17">
          <cell r="A17">
            <v>16</v>
          </cell>
          <cell r="B17">
            <v>0</v>
          </cell>
          <cell r="C17">
            <v>1.4190465273089099E-2</v>
          </cell>
          <cell r="D17">
            <v>1.9918170656068698E-2</v>
          </cell>
          <cell r="E17">
            <v>2.5116735613286301E-2</v>
          </cell>
          <cell r="F17">
            <v>2.9529871371803001E-2</v>
          </cell>
          <cell r="G17">
            <v>1.20399060797537E-2</v>
          </cell>
          <cell r="H17">
            <v>0</v>
          </cell>
          <cell r="I17">
            <v>1.29778881194898E-2</v>
          </cell>
          <cell r="J17">
            <v>1.7507399902453299E-2</v>
          </cell>
          <cell r="K17">
            <v>3.8783290843734802E-2</v>
          </cell>
          <cell r="L17">
            <v>4.94676559645763E-2</v>
          </cell>
          <cell r="M17">
            <v>2.2804906273713701E-2</v>
          </cell>
          <cell r="N17">
            <v>0</v>
          </cell>
          <cell r="O17">
            <v>1.3598124384612701E-2</v>
          </cell>
          <cell r="P17">
            <v>0</v>
          </cell>
          <cell r="Q17">
            <v>4.3662366565298899E-2</v>
          </cell>
          <cell r="R17">
            <v>8.3377973200388603E-2</v>
          </cell>
          <cell r="S17">
            <v>7.1588253779932498E-2</v>
          </cell>
          <cell r="T17">
            <v>2.9990145086469099E-2</v>
          </cell>
          <cell r="U17">
            <v>0</v>
          </cell>
          <cell r="V17">
            <v>9.3306112094955804E-2</v>
          </cell>
          <cell r="W17">
            <v>9.3854866457422206E-2</v>
          </cell>
          <cell r="X17">
            <v>0.145324887426899</v>
          </cell>
          <cell r="Y17">
            <v>8.7316887555916003E-2</v>
          </cell>
          <cell r="Z17">
            <v>9.5644093350134393E-2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1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1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2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1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2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1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1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8DDA-BDA1-4D8D-BF45-A17A3A104BE2}">
  <dimension ref="B2:AI27"/>
  <sheetViews>
    <sheetView tabSelected="1" topLeftCell="AE1" workbookViewId="0">
      <selection activeCell="AF15" sqref="AF15"/>
    </sheetView>
  </sheetViews>
  <sheetFormatPr baseColWidth="10" defaultRowHeight="14.5" x14ac:dyDescent="0.35"/>
  <cols>
    <col min="2" max="2" width="14.7265625" customWidth="1"/>
    <col min="3" max="3" width="49.6328125" customWidth="1"/>
    <col min="6" max="6" width="14.7265625" customWidth="1"/>
    <col min="7" max="7" width="49.6328125" customWidth="1"/>
    <col min="10" max="10" width="14.7265625" customWidth="1"/>
    <col min="11" max="11" width="49.6328125" customWidth="1"/>
    <col min="14" max="14" width="14.7265625" customWidth="1"/>
    <col min="15" max="15" width="49.6328125" customWidth="1"/>
    <col min="18" max="18" width="14.7265625" customWidth="1"/>
    <col min="19" max="19" width="49.6328125" customWidth="1"/>
    <col min="22" max="22" width="14.7265625" customWidth="1"/>
    <col min="23" max="23" width="49.6328125" customWidth="1"/>
    <col min="26" max="26" width="14.7265625" customWidth="1"/>
    <col min="27" max="27" width="49.6328125" customWidth="1"/>
    <col min="30" max="30" width="14.7265625" customWidth="1"/>
    <col min="31" max="31" width="49.6328125" customWidth="1"/>
    <col min="34" max="34" width="14.7265625" customWidth="1"/>
    <col min="35" max="35" width="49.6328125" customWidth="1"/>
  </cols>
  <sheetData>
    <row r="2" spans="2:35" x14ac:dyDescent="0.35">
      <c r="B2" s="2" t="s">
        <v>6</v>
      </c>
      <c r="C2" s="2" t="s">
        <v>7</v>
      </c>
      <c r="F2" s="2" t="s">
        <v>6</v>
      </c>
      <c r="G2" s="2" t="s">
        <v>7</v>
      </c>
      <c r="J2" s="2" t="s">
        <v>6</v>
      </c>
      <c r="K2" s="2" t="s">
        <v>7</v>
      </c>
      <c r="N2" s="2" t="s">
        <v>6</v>
      </c>
      <c r="O2" s="2" t="s">
        <v>7</v>
      </c>
      <c r="R2" s="2" t="s">
        <v>6</v>
      </c>
      <c r="S2" s="2" t="s">
        <v>7</v>
      </c>
      <c r="V2" s="2" t="s">
        <v>6</v>
      </c>
      <c r="W2" s="2" t="s">
        <v>7</v>
      </c>
      <c r="Z2" s="2" t="s">
        <v>6</v>
      </c>
      <c r="AA2" s="2" t="s">
        <v>7</v>
      </c>
      <c r="AD2" s="2" t="s">
        <v>6</v>
      </c>
      <c r="AE2" s="2" t="s">
        <v>7</v>
      </c>
      <c r="AH2" s="2" t="s">
        <v>6</v>
      </c>
      <c r="AI2" s="2" t="s">
        <v>7</v>
      </c>
    </row>
    <row r="3" spans="2:35" ht="77" customHeight="1" x14ac:dyDescent="0.35">
      <c r="B3" s="7" t="s">
        <v>8</v>
      </c>
      <c r="C3" s="28" t="s">
        <v>30</v>
      </c>
      <c r="D3" s="29"/>
      <c r="E3" s="29"/>
      <c r="F3" s="7" t="s">
        <v>4</v>
      </c>
      <c r="G3" s="28" t="s">
        <v>9</v>
      </c>
      <c r="H3" s="29"/>
      <c r="I3" s="29"/>
      <c r="J3" s="7" t="s">
        <v>5</v>
      </c>
      <c r="K3" s="28" t="s">
        <v>10</v>
      </c>
      <c r="L3" s="29"/>
      <c r="M3" s="29"/>
      <c r="N3" s="28" t="s">
        <v>31</v>
      </c>
      <c r="O3" s="28" t="s">
        <v>59</v>
      </c>
      <c r="P3" s="29"/>
      <c r="Q3" s="29"/>
      <c r="R3" s="28" t="s">
        <v>32</v>
      </c>
      <c r="S3" s="28" t="s">
        <v>36</v>
      </c>
      <c r="T3" s="29"/>
      <c r="U3" s="29"/>
      <c r="V3" s="28" t="s">
        <v>33</v>
      </c>
      <c r="W3" s="28" t="s">
        <v>35</v>
      </c>
      <c r="X3" s="29"/>
      <c r="Y3" s="29"/>
      <c r="Z3" s="28" t="s">
        <v>34</v>
      </c>
      <c r="AA3" s="28" t="s">
        <v>36</v>
      </c>
      <c r="AD3" s="28" t="s">
        <v>65</v>
      </c>
      <c r="AE3" s="28" t="s">
        <v>36</v>
      </c>
      <c r="AH3" s="28" t="s">
        <v>66</v>
      </c>
      <c r="AI3" s="28" t="s">
        <v>36</v>
      </c>
    </row>
    <row r="4" spans="2:35" x14ac:dyDescent="0.35">
      <c r="B4" s="30" t="s">
        <v>40</v>
      </c>
      <c r="C4" s="30" t="s">
        <v>41</v>
      </c>
      <c r="D4" s="29"/>
      <c r="E4" s="29"/>
      <c r="F4" s="30" t="s">
        <v>40</v>
      </c>
      <c r="G4" s="30" t="s">
        <v>41</v>
      </c>
      <c r="H4" s="29"/>
      <c r="I4" s="29"/>
      <c r="J4" s="30" t="s">
        <v>40</v>
      </c>
      <c r="K4" s="30" t="s">
        <v>41</v>
      </c>
      <c r="L4" s="29"/>
      <c r="M4" s="29"/>
      <c r="N4" s="30" t="s">
        <v>40</v>
      </c>
      <c r="O4" s="30" t="s">
        <v>41</v>
      </c>
      <c r="P4" s="29"/>
      <c r="Q4" s="29"/>
      <c r="R4" s="30" t="s">
        <v>40</v>
      </c>
      <c r="S4" s="30" t="s">
        <v>41</v>
      </c>
      <c r="T4" s="29"/>
      <c r="U4" s="29"/>
      <c r="V4" s="30" t="s">
        <v>40</v>
      </c>
      <c r="W4" s="30" t="s">
        <v>41</v>
      </c>
      <c r="X4" s="29"/>
      <c r="Y4" s="29"/>
      <c r="Z4" s="30" t="s">
        <v>40</v>
      </c>
      <c r="AA4" s="30" t="s">
        <v>41</v>
      </c>
      <c r="AD4" s="30" t="s">
        <v>40</v>
      </c>
      <c r="AE4" s="30" t="s">
        <v>41</v>
      </c>
      <c r="AH4" s="30" t="s">
        <v>40</v>
      </c>
      <c r="AI4" s="30" t="s">
        <v>41</v>
      </c>
    </row>
    <row r="5" spans="2:35" x14ac:dyDescent="0.35">
      <c r="B5" s="8" t="s">
        <v>11</v>
      </c>
      <c r="C5" s="9" t="s">
        <v>42</v>
      </c>
      <c r="F5" s="8" t="s">
        <v>11</v>
      </c>
      <c r="G5" s="9" t="s">
        <v>42</v>
      </c>
      <c r="J5" s="8" t="s">
        <v>11</v>
      </c>
      <c r="K5" s="9" t="s">
        <v>42</v>
      </c>
      <c r="N5" s="8" t="s">
        <v>11</v>
      </c>
      <c r="O5" s="9" t="s">
        <v>42</v>
      </c>
      <c r="R5" s="8" t="s">
        <v>11</v>
      </c>
      <c r="S5" s="9" t="s">
        <v>42</v>
      </c>
      <c r="V5" s="8" t="s">
        <v>11</v>
      </c>
      <c r="W5" s="9" t="s">
        <v>42</v>
      </c>
      <c r="Z5" s="8" t="s">
        <v>11</v>
      </c>
      <c r="AA5" s="9" t="s">
        <v>42</v>
      </c>
      <c r="AD5" s="8" t="s">
        <v>11</v>
      </c>
      <c r="AE5" s="9" t="s">
        <v>42</v>
      </c>
      <c r="AH5" s="8" t="s">
        <v>11</v>
      </c>
      <c r="AI5" s="9" t="s">
        <v>42</v>
      </c>
    </row>
    <row r="6" spans="2:35" x14ac:dyDescent="0.35">
      <c r="B6" s="8" t="s">
        <v>12</v>
      </c>
      <c r="C6" s="9" t="s">
        <v>42</v>
      </c>
      <c r="F6" s="8" t="s">
        <v>12</v>
      </c>
      <c r="G6" s="9" t="s">
        <v>42</v>
      </c>
      <c r="J6" s="8" t="s">
        <v>38</v>
      </c>
      <c r="K6" s="9" t="s">
        <v>42</v>
      </c>
      <c r="N6" s="8" t="s">
        <v>12</v>
      </c>
      <c r="O6" s="9" t="s">
        <v>42</v>
      </c>
      <c r="R6" s="8" t="s">
        <v>12</v>
      </c>
      <c r="S6" s="9" t="s">
        <v>42</v>
      </c>
      <c r="V6" s="8" t="s">
        <v>38</v>
      </c>
      <c r="W6" s="9" t="s">
        <v>42</v>
      </c>
      <c r="Z6" s="8" t="s">
        <v>38</v>
      </c>
      <c r="AA6" s="9" t="s">
        <v>42</v>
      </c>
      <c r="AD6" s="8" t="s">
        <v>38</v>
      </c>
      <c r="AE6" s="9" t="s">
        <v>42</v>
      </c>
      <c r="AH6" s="8" t="s">
        <v>38</v>
      </c>
      <c r="AI6" s="9" t="s">
        <v>42</v>
      </c>
    </row>
    <row r="7" spans="2:35" x14ac:dyDescent="0.35">
      <c r="B7" s="8" t="s">
        <v>38</v>
      </c>
      <c r="C7" s="9" t="s">
        <v>42</v>
      </c>
      <c r="F7" s="8" t="s">
        <v>38</v>
      </c>
      <c r="G7" s="9" t="s">
        <v>42</v>
      </c>
      <c r="J7" s="8" t="s">
        <v>17</v>
      </c>
      <c r="K7" s="9" t="s">
        <v>42</v>
      </c>
      <c r="N7" s="8" t="s">
        <v>38</v>
      </c>
      <c r="O7" s="9" t="s">
        <v>42</v>
      </c>
      <c r="R7" s="8" t="s">
        <v>38</v>
      </c>
      <c r="S7" s="9" t="s">
        <v>42</v>
      </c>
      <c r="V7" s="8" t="s">
        <v>14</v>
      </c>
      <c r="W7" s="9" t="s">
        <v>42</v>
      </c>
      <c r="Z7" s="8" t="s">
        <v>14</v>
      </c>
      <c r="AA7" s="9" t="s">
        <v>42</v>
      </c>
      <c r="AD7" s="8" t="s">
        <v>14</v>
      </c>
      <c r="AE7" s="9" t="s">
        <v>42</v>
      </c>
      <c r="AH7" s="8" t="s">
        <v>14</v>
      </c>
      <c r="AI7" s="9" t="s">
        <v>42</v>
      </c>
    </row>
    <row r="8" spans="2:35" x14ac:dyDescent="0.35">
      <c r="B8" s="8" t="s">
        <v>17</v>
      </c>
      <c r="C8" s="9" t="s">
        <v>42</v>
      </c>
      <c r="F8" s="8" t="s">
        <v>16</v>
      </c>
      <c r="G8" s="9" t="s">
        <v>42</v>
      </c>
      <c r="J8" s="10" t="s">
        <v>20</v>
      </c>
      <c r="K8" s="9" t="s">
        <v>43</v>
      </c>
      <c r="N8" s="8" t="s">
        <v>16</v>
      </c>
      <c r="O8" s="9" t="s">
        <v>42</v>
      </c>
      <c r="R8" s="8" t="s">
        <v>16</v>
      </c>
      <c r="S8" s="9" t="s">
        <v>42</v>
      </c>
      <c r="V8" s="8" t="s">
        <v>17</v>
      </c>
      <c r="W8" s="9" t="s">
        <v>42</v>
      </c>
      <c r="Z8" s="8" t="s">
        <v>17</v>
      </c>
      <c r="AA8" s="9" t="s">
        <v>42</v>
      </c>
      <c r="AD8" s="8" t="s">
        <v>17</v>
      </c>
      <c r="AE8" s="9" t="s">
        <v>42</v>
      </c>
      <c r="AH8" s="8" t="s">
        <v>17</v>
      </c>
      <c r="AI8" s="9" t="s">
        <v>42</v>
      </c>
    </row>
    <row r="9" spans="2:35" x14ac:dyDescent="0.35">
      <c r="B9" s="10" t="s">
        <v>23</v>
      </c>
      <c r="C9" s="9" t="s">
        <v>43</v>
      </c>
      <c r="F9" s="8" t="s">
        <v>17</v>
      </c>
      <c r="G9" s="9" t="s">
        <v>42</v>
      </c>
      <c r="J9" s="10" t="s">
        <v>14</v>
      </c>
      <c r="K9" s="9" t="s">
        <v>43</v>
      </c>
      <c r="N9" s="8" t="s">
        <v>17</v>
      </c>
      <c r="O9" s="9" t="s">
        <v>42</v>
      </c>
      <c r="R9" s="8" t="s">
        <v>17</v>
      </c>
      <c r="S9" s="9" t="s">
        <v>42</v>
      </c>
      <c r="V9" s="8" t="s">
        <v>22</v>
      </c>
      <c r="W9" s="9" t="s">
        <v>42</v>
      </c>
      <c r="Z9" s="8" t="s">
        <v>22</v>
      </c>
      <c r="AA9" s="9" t="s">
        <v>42</v>
      </c>
      <c r="AD9" s="8" t="s">
        <v>22</v>
      </c>
      <c r="AE9" s="9" t="s">
        <v>42</v>
      </c>
      <c r="AH9" s="8" t="s">
        <v>22</v>
      </c>
      <c r="AI9" s="9" t="s">
        <v>42</v>
      </c>
    </row>
    <row r="10" spans="2:35" x14ac:dyDescent="0.35">
      <c r="B10" s="10" t="s">
        <v>13</v>
      </c>
      <c r="C10" s="9" t="s">
        <v>43</v>
      </c>
      <c r="F10" s="8" t="s">
        <v>22</v>
      </c>
      <c r="G10" s="9" t="s">
        <v>42</v>
      </c>
      <c r="J10" s="10" t="s">
        <v>22</v>
      </c>
      <c r="K10" s="9" t="s">
        <v>43</v>
      </c>
      <c r="N10" s="10" t="s">
        <v>21</v>
      </c>
      <c r="O10" s="9" t="s">
        <v>43</v>
      </c>
      <c r="R10" s="10" t="s">
        <v>21</v>
      </c>
      <c r="S10" s="9" t="s">
        <v>43</v>
      </c>
      <c r="V10" s="10" t="s">
        <v>21</v>
      </c>
      <c r="W10" s="9" t="s">
        <v>43</v>
      </c>
      <c r="Z10" s="10" t="s">
        <v>21</v>
      </c>
      <c r="AA10" s="9" t="s">
        <v>43</v>
      </c>
      <c r="AD10" s="8" t="s">
        <v>21</v>
      </c>
      <c r="AE10" s="9" t="s">
        <v>42</v>
      </c>
      <c r="AH10" s="8" t="s">
        <v>21</v>
      </c>
      <c r="AI10" s="9" t="s">
        <v>42</v>
      </c>
    </row>
    <row r="11" spans="2:35" x14ac:dyDescent="0.35">
      <c r="B11" s="10" t="s">
        <v>19</v>
      </c>
      <c r="C11" s="9" t="s">
        <v>43</v>
      </c>
      <c r="F11" s="10" t="s">
        <v>21</v>
      </c>
      <c r="G11" s="9" t="s">
        <v>43</v>
      </c>
      <c r="J11" s="11" t="s">
        <v>23</v>
      </c>
      <c r="K11" s="9" t="s">
        <v>44</v>
      </c>
      <c r="N11" s="10" t="s">
        <v>20</v>
      </c>
      <c r="O11" s="9" t="s">
        <v>43</v>
      </c>
      <c r="R11" s="10" t="s">
        <v>20</v>
      </c>
      <c r="S11" s="9" t="s">
        <v>43</v>
      </c>
      <c r="V11" s="10" t="s">
        <v>12</v>
      </c>
      <c r="W11" s="9" t="s">
        <v>43</v>
      </c>
      <c r="Z11" s="10" t="s">
        <v>12</v>
      </c>
      <c r="AA11" s="9" t="s">
        <v>43</v>
      </c>
      <c r="AD11" s="8" t="s">
        <v>12</v>
      </c>
      <c r="AE11" s="9" t="s">
        <v>42</v>
      </c>
      <c r="AH11" s="8" t="s">
        <v>12</v>
      </c>
      <c r="AI11" s="9" t="s">
        <v>42</v>
      </c>
    </row>
    <row r="12" spans="2:35" x14ac:dyDescent="0.35">
      <c r="B12" s="10" t="s">
        <v>15</v>
      </c>
      <c r="C12" s="9" t="s">
        <v>43</v>
      </c>
      <c r="F12" s="10" t="s">
        <v>20</v>
      </c>
      <c r="G12" s="9" t="s">
        <v>43</v>
      </c>
      <c r="J12" s="11" t="s">
        <v>26</v>
      </c>
      <c r="K12" s="9" t="s">
        <v>44</v>
      </c>
      <c r="N12" s="10" t="s">
        <v>14</v>
      </c>
      <c r="O12" s="9" t="s">
        <v>43</v>
      </c>
      <c r="R12" s="10" t="s">
        <v>14</v>
      </c>
      <c r="S12" s="9" t="s">
        <v>43</v>
      </c>
      <c r="V12" s="10" t="s">
        <v>16</v>
      </c>
      <c r="W12" s="9" t="s">
        <v>43</v>
      </c>
      <c r="Z12" s="10" t="s">
        <v>16</v>
      </c>
      <c r="AA12" s="9" t="s">
        <v>43</v>
      </c>
      <c r="AD12" s="8" t="s">
        <v>16</v>
      </c>
      <c r="AE12" s="9" t="s">
        <v>42</v>
      </c>
      <c r="AH12" s="8" t="s">
        <v>16</v>
      </c>
      <c r="AI12" s="9" t="s">
        <v>42</v>
      </c>
    </row>
    <row r="13" spans="2:35" x14ac:dyDescent="0.35">
      <c r="B13" s="10" t="s">
        <v>26</v>
      </c>
      <c r="C13" s="9" t="s">
        <v>43</v>
      </c>
      <c r="F13" s="10" t="s">
        <v>14</v>
      </c>
      <c r="G13" s="9" t="s">
        <v>43</v>
      </c>
      <c r="J13" s="12" t="s">
        <v>15</v>
      </c>
      <c r="K13" s="9" t="s">
        <v>46</v>
      </c>
      <c r="N13" s="10" t="s">
        <v>22</v>
      </c>
      <c r="O13" s="9" t="s">
        <v>43</v>
      </c>
      <c r="R13" s="10" t="s">
        <v>22</v>
      </c>
      <c r="S13" s="9" t="s">
        <v>43</v>
      </c>
      <c r="V13" s="10" t="s">
        <v>20</v>
      </c>
      <c r="W13" s="9" t="s">
        <v>43</v>
      </c>
      <c r="Z13" s="10" t="s">
        <v>20</v>
      </c>
      <c r="AA13" s="9" t="s">
        <v>43</v>
      </c>
      <c r="AD13" s="8" t="s">
        <v>20</v>
      </c>
      <c r="AE13" s="9" t="s">
        <v>42</v>
      </c>
      <c r="AH13" s="8" t="s">
        <v>20</v>
      </c>
      <c r="AI13" s="9" t="s">
        <v>42</v>
      </c>
    </row>
    <row r="14" spans="2:35" x14ac:dyDescent="0.35">
      <c r="B14" s="11" t="s">
        <v>21</v>
      </c>
      <c r="C14" s="9" t="s">
        <v>44</v>
      </c>
      <c r="F14" s="11" t="s">
        <v>45</v>
      </c>
      <c r="G14" s="9" t="s">
        <v>44</v>
      </c>
      <c r="J14" s="13" t="s">
        <v>25</v>
      </c>
      <c r="K14" s="9" t="s">
        <v>47</v>
      </c>
      <c r="N14" s="11" t="s">
        <v>23</v>
      </c>
      <c r="O14" s="9" t="s">
        <v>44</v>
      </c>
      <c r="R14" s="11" t="s">
        <v>23</v>
      </c>
      <c r="S14" s="9" t="s">
        <v>44</v>
      </c>
      <c r="V14" s="11" t="s">
        <v>23</v>
      </c>
      <c r="W14" s="9" t="s">
        <v>44</v>
      </c>
      <c r="Z14" s="11" t="s">
        <v>23</v>
      </c>
      <c r="AA14" s="9" t="s">
        <v>44</v>
      </c>
      <c r="AD14" s="40" t="s">
        <v>25</v>
      </c>
      <c r="AE14" s="17" t="s">
        <v>43</v>
      </c>
      <c r="AH14" s="40" t="s">
        <v>25</v>
      </c>
      <c r="AI14" s="17" t="s">
        <v>43</v>
      </c>
    </row>
    <row r="15" spans="2:35" x14ac:dyDescent="0.35">
      <c r="B15" s="11" t="s">
        <v>24</v>
      </c>
      <c r="C15" s="9" t="s">
        <v>44</v>
      </c>
      <c r="F15" s="12" t="s">
        <v>18</v>
      </c>
      <c r="G15" s="9" t="s">
        <v>46</v>
      </c>
      <c r="J15" s="14" t="s">
        <v>13</v>
      </c>
      <c r="K15" s="9" t="s">
        <v>48</v>
      </c>
      <c r="N15" s="11" t="s">
        <v>24</v>
      </c>
      <c r="O15" s="9" t="s">
        <v>44</v>
      </c>
      <c r="R15" s="11" t="s">
        <v>15</v>
      </c>
      <c r="S15" s="9" t="s">
        <v>44</v>
      </c>
      <c r="V15" s="11" t="s">
        <v>24</v>
      </c>
      <c r="W15" s="9" t="s">
        <v>44</v>
      </c>
      <c r="Z15" s="11" t="s">
        <v>15</v>
      </c>
      <c r="AA15" s="9" t="s">
        <v>44</v>
      </c>
      <c r="AD15" s="11" t="s">
        <v>23</v>
      </c>
      <c r="AE15" s="9" t="s">
        <v>44</v>
      </c>
      <c r="AH15" s="11" t="s">
        <v>23</v>
      </c>
      <c r="AI15" s="9" t="s">
        <v>44</v>
      </c>
    </row>
    <row r="16" spans="2:35" x14ac:dyDescent="0.35">
      <c r="B16" s="11" t="s">
        <v>16</v>
      </c>
      <c r="C16" s="9" t="s">
        <v>44</v>
      </c>
      <c r="F16" s="13" t="s">
        <v>23</v>
      </c>
      <c r="G16" s="9" t="s">
        <v>47</v>
      </c>
      <c r="J16" s="15" t="s">
        <v>21</v>
      </c>
      <c r="K16" s="9" t="s">
        <v>50</v>
      </c>
      <c r="N16" s="11" t="s">
        <v>27</v>
      </c>
      <c r="O16" s="9" t="s">
        <v>44</v>
      </c>
      <c r="R16" s="11" t="s">
        <v>26</v>
      </c>
      <c r="S16" s="9" t="s">
        <v>44</v>
      </c>
      <c r="V16" s="11" t="s">
        <v>27</v>
      </c>
      <c r="W16" s="9" t="s">
        <v>44</v>
      </c>
      <c r="Z16" s="11" t="s">
        <v>26</v>
      </c>
      <c r="AA16" s="9" t="s">
        <v>44</v>
      </c>
      <c r="AD16" s="11" t="s">
        <v>15</v>
      </c>
      <c r="AE16" s="9" t="s">
        <v>44</v>
      </c>
      <c r="AH16" s="11" t="s">
        <v>15</v>
      </c>
      <c r="AI16" s="9" t="s">
        <v>44</v>
      </c>
    </row>
    <row r="17" spans="2:35" x14ac:dyDescent="0.35">
      <c r="B17" s="11" t="s">
        <v>27</v>
      </c>
      <c r="C17" s="9" t="s">
        <v>44</v>
      </c>
      <c r="F17" s="13" t="s">
        <v>24</v>
      </c>
      <c r="G17" s="9" t="s">
        <v>47</v>
      </c>
      <c r="J17" s="18" t="s">
        <v>12</v>
      </c>
      <c r="K17" s="9" t="s">
        <v>52</v>
      </c>
      <c r="N17" s="11" t="s">
        <v>15</v>
      </c>
      <c r="O17" s="9" t="s">
        <v>44</v>
      </c>
      <c r="R17" s="12" t="s">
        <v>13</v>
      </c>
      <c r="S17" s="9" t="s">
        <v>46</v>
      </c>
      <c r="V17" s="11" t="s">
        <v>15</v>
      </c>
      <c r="W17" s="9" t="s">
        <v>44</v>
      </c>
      <c r="Z17" s="12" t="s">
        <v>13</v>
      </c>
      <c r="AA17" s="9" t="s">
        <v>46</v>
      </c>
      <c r="AD17" s="11" t="s">
        <v>26</v>
      </c>
      <c r="AE17" s="9" t="s">
        <v>44</v>
      </c>
      <c r="AH17" s="11" t="s">
        <v>26</v>
      </c>
      <c r="AI17" s="9" t="s">
        <v>44</v>
      </c>
    </row>
    <row r="18" spans="2:35" x14ac:dyDescent="0.35">
      <c r="B18" s="11" t="s">
        <v>20</v>
      </c>
      <c r="C18" s="9" t="s">
        <v>44</v>
      </c>
      <c r="F18" s="13" t="s">
        <v>27</v>
      </c>
      <c r="G18" s="9" t="s">
        <v>47</v>
      </c>
      <c r="J18" s="18" t="s">
        <v>16</v>
      </c>
      <c r="K18" s="9" t="s">
        <v>52</v>
      </c>
      <c r="N18" s="11" t="s">
        <v>26</v>
      </c>
      <c r="O18" s="9" t="s">
        <v>44</v>
      </c>
      <c r="R18" s="12" t="s">
        <v>19</v>
      </c>
      <c r="S18" s="9" t="s">
        <v>46</v>
      </c>
      <c r="V18" s="11" t="s">
        <v>26</v>
      </c>
      <c r="W18" s="9" t="s">
        <v>44</v>
      </c>
      <c r="Z18" s="12" t="s">
        <v>19</v>
      </c>
      <c r="AA18" s="9" t="s">
        <v>46</v>
      </c>
      <c r="AD18" s="11" t="s">
        <v>24</v>
      </c>
      <c r="AE18" s="9" t="s">
        <v>44</v>
      </c>
      <c r="AH18" s="12" t="s">
        <v>13</v>
      </c>
      <c r="AI18" s="9" t="s">
        <v>46</v>
      </c>
    </row>
    <row r="19" spans="2:35" x14ac:dyDescent="0.35">
      <c r="B19" s="11" t="s">
        <v>14</v>
      </c>
      <c r="C19" s="9" t="s">
        <v>44</v>
      </c>
      <c r="F19" s="13" t="s">
        <v>15</v>
      </c>
      <c r="G19" s="9" t="s">
        <v>47</v>
      </c>
      <c r="J19" s="20" t="s">
        <v>18</v>
      </c>
      <c r="K19" s="9" t="s">
        <v>53</v>
      </c>
      <c r="N19" s="12" t="s">
        <v>13</v>
      </c>
      <c r="O19" s="9" t="s">
        <v>46</v>
      </c>
      <c r="R19" s="13" t="s">
        <v>49</v>
      </c>
      <c r="S19" s="9" t="s">
        <v>47</v>
      </c>
      <c r="V19" s="12" t="s">
        <v>13</v>
      </c>
      <c r="W19" s="9" t="s">
        <v>46</v>
      </c>
      <c r="Z19" s="13" t="s">
        <v>49</v>
      </c>
      <c r="AA19" s="9" t="s">
        <v>47</v>
      </c>
      <c r="AD19" s="11" t="s">
        <v>27</v>
      </c>
      <c r="AE19" s="9" t="s">
        <v>44</v>
      </c>
      <c r="AH19" s="12" t="s">
        <v>19</v>
      </c>
      <c r="AI19" s="9" t="s">
        <v>46</v>
      </c>
    </row>
    <row r="20" spans="2:35" x14ac:dyDescent="0.35">
      <c r="B20" s="11" t="s">
        <v>22</v>
      </c>
      <c r="C20" s="9" t="s">
        <v>44</v>
      </c>
      <c r="F20" s="13" t="s">
        <v>26</v>
      </c>
      <c r="G20" s="9" t="s">
        <v>47</v>
      </c>
      <c r="J20" s="21" t="s">
        <v>45</v>
      </c>
      <c r="K20" s="9" t="s">
        <v>54</v>
      </c>
      <c r="N20" s="12" t="s">
        <v>19</v>
      </c>
      <c r="O20" s="9" t="s">
        <v>46</v>
      </c>
      <c r="R20" s="13" t="s">
        <v>39</v>
      </c>
      <c r="S20" s="9" t="s">
        <v>47</v>
      </c>
      <c r="V20" s="12" t="s">
        <v>19</v>
      </c>
      <c r="W20" s="9" t="s">
        <v>46</v>
      </c>
      <c r="Z20" s="13" t="s">
        <v>39</v>
      </c>
      <c r="AA20" s="9" t="s">
        <v>47</v>
      </c>
      <c r="AD20" s="12" t="s">
        <v>13</v>
      </c>
      <c r="AE20" s="9" t="s">
        <v>46</v>
      </c>
      <c r="AH20" s="13" t="s">
        <v>49</v>
      </c>
      <c r="AI20" s="9" t="s">
        <v>47</v>
      </c>
    </row>
    <row r="21" spans="2:35" x14ac:dyDescent="0.35">
      <c r="B21" s="12" t="s">
        <v>45</v>
      </c>
      <c r="C21" s="9" t="s">
        <v>46</v>
      </c>
      <c r="F21" s="14" t="s">
        <v>13</v>
      </c>
      <c r="G21" s="9" t="s">
        <v>48</v>
      </c>
      <c r="J21" s="22" t="s">
        <v>39</v>
      </c>
      <c r="K21" s="9" t="s">
        <v>55</v>
      </c>
      <c r="N21" s="13" t="s">
        <v>49</v>
      </c>
      <c r="O21" s="9" t="s">
        <v>47</v>
      </c>
      <c r="R21" s="13" t="s">
        <v>51</v>
      </c>
      <c r="S21" s="9" t="s">
        <v>47</v>
      </c>
      <c r="V21" s="13" t="s">
        <v>49</v>
      </c>
      <c r="W21" s="9" t="s">
        <v>47</v>
      </c>
      <c r="Z21" s="13" t="s">
        <v>51</v>
      </c>
      <c r="AA21" s="9" t="s">
        <v>47</v>
      </c>
      <c r="AD21" s="12" t="s">
        <v>19</v>
      </c>
      <c r="AE21" s="9" t="s">
        <v>46</v>
      </c>
      <c r="AH21" s="13" t="s">
        <v>39</v>
      </c>
      <c r="AI21" s="9" t="s">
        <v>47</v>
      </c>
    </row>
    <row r="22" spans="2:35" x14ac:dyDescent="0.35">
      <c r="B22" s="13" t="s">
        <v>18</v>
      </c>
      <c r="C22" s="9" t="s">
        <v>47</v>
      </c>
      <c r="F22" s="14" t="s">
        <v>19</v>
      </c>
      <c r="G22" s="9" t="s">
        <v>48</v>
      </c>
      <c r="J22" s="23" t="s">
        <v>49</v>
      </c>
      <c r="K22" s="9" t="s">
        <v>56</v>
      </c>
      <c r="N22" s="13" t="s">
        <v>39</v>
      </c>
      <c r="O22" s="9" t="s">
        <v>47</v>
      </c>
      <c r="R22" s="13" t="s">
        <v>37</v>
      </c>
      <c r="S22" s="9" t="s">
        <v>47</v>
      </c>
      <c r="V22" s="13" t="s">
        <v>39</v>
      </c>
      <c r="W22" s="9" t="s">
        <v>47</v>
      </c>
      <c r="Z22" s="13" t="s">
        <v>37</v>
      </c>
      <c r="AA22" s="9" t="s">
        <v>47</v>
      </c>
      <c r="AD22" s="13" t="s">
        <v>49</v>
      </c>
      <c r="AE22" s="9" t="s">
        <v>47</v>
      </c>
      <c r="AH22" s="13" t="s">
        <v>51</v>
      </c>
      <c r="AI22" s="9" t="s">
        <v>47</v>
      </c>
    </row>
    <row r="23" spans="2:35" x14ac:dyDescent="0.35">
      <c r="B23" s="14" t="s">
        <v>25</v>
      </c>
      <c r="C23" s="9" t="s">
        <v>48</v>
      </c>
      <c r="F23" s="15" t="s">
        <v>25</v>
      </c>
      <c r="G23" s="9" t="s">
        <v>50</v>
      </c>
      <c r="J23" s="23" t="s">
        <v>51</v>
      </c>
      <c r="K23" s="9" t="s">
        <v>56</v>
      </c>
      <c r="N23" s="13" t="s">
        <v>51</v>
      </c>
      <c r="O23" s="9" t="s">
        <v>47</v>
      </c>
      <c r="R23" s="14" t="s">
        <v>24</v>
      </c>
      <c r="S23" s="9" t="s">
        <v>48</v>
      </c>
      <c r="V23" s="13" t="s">
        <v>51</v>
      </c>
      <c r="W23" s="9" t="s">
        <v>47</v>
      </c>
      <c r="Z23" s="14" t="s">
        <v>24</v>
      </c>
      <c r="AA23" s="9" t="s">
        <v>48</v>
      </c>
      <c r="AD23" s="13" t="s">
        <v>39</v>
      </c>
      <c r="AE23" s="9" t="s">
        <v>47</v>
      </c>
      <c r="AH23" s="13" t="s">
        <v>37</v>
      </c>
      <c r="AI23" s="9" t="s">
        <v>47</v>
      </c>
    </row>
    <row r="24" spans="2:35" x14ac:dyDescent="0.35">
      <c r="B24" s="15" t="s">
        <v>49</v>
      </c>
      <c r="C24" s="9" t="s">
        <v>50</v>
      </c>
      <c r="F24" s="18" t="s">
        <v>49</v>
      </c>
      <c r="G24" s="9" t="s">
        <v>52</v>
      </c>
      <c r="J24" s="23" t="s">
        <v>37</v>
      </c>
      <c r="K24" s="9" t="s">
        <v>56</v>
      </c>
      <c r="N24" s="13" t="s">
        <v>37</v>
      </c>
      <c r="O24" s="9" t="s">
        <v>47</v>
      </c>
      <c r="R24" s="14" t="s">
        <v>27</v>
      </c>
      <c r="S24" s="9" t="s">
        <v>48</v>
      </c>
      <c r="V24" s="13" t="s">
        <v>37</v>
      </c>
      <c r="W24" s="9" t="s">
        <v>47</v>
      </c>
      <c r="Z24" s="14" t="s">
        <v>27</v>
      </c>
      <c r="AA24" s="9" t="s">
        <v>48</v>
      </c>
      <c r="AD24" s="13" t="s">
        <v>51</v>
      </c>
      <c r="AE24" s="9" t="s">
        <v>47</v>
      </c>
      <c r="AH24" s="14" t="s">
        <v>24</v>
      </c>
      <c r="AI24" s="9" t="s">
        <v>48</v>
      </c>
    </row>
    <row r="25" spans="2:35" x14ac:dyDescent="0.35">
      <c r="B25" s="15" t="s">
        <v>39</v>
      </c>
      <c r="C25" s="9" t="s">
        <v>50</v>
      </c>
      <c r="F25" s="18" t="s">
        <v>39</v>
      </c>
      <c r="G25" s="9" t="s">
        <v>52</v>
      </c>
      <c r="J25" s="24" t="s">
        <v>24</v>
      </c>
      <c r="K25" s="9" t="s">
        <v>57</v>
      </c>
      <c r="N25" s="14" t="s">
        <v>45</v>
      </c>
      <c r="O25" s="9" t="s">
        <v>48</v>
      </c>
      <c r="R25" s="15" t="s">
        <v>45</v>
      </c>
      <c r="S25" s="9" t="s">
        <v>50</v>
      </c>
      <c r="V25" s="14" t="s">
        <v>45</v>
      </c>
      <c r="W25" s="9" t="s">
        <v>48</v>
      </c>
      <c r="Z25" s="15" t="s">
        <v>45</v>
      </c>
      <c r="AA25" s="9" t="s">
        <v>50</v>
      </c>
      <c r="AD25" s="13" t="s">
        <v>37</v>
      </c>
      <c r="AE25" s="9" t="s">
        <v>47</v>
      </c>
      <c r="AH25" s="14" t="s">
        <v>27</v>
      </c>
      <c r="AI25" s="9" t="s">
        <v>48</v>
      </c>
    </row>
    <row r="26" spans="2:35" x14ac:dyDescent="0.35">
      <c r="B26" s="15" t="s">
        <v>51</v>
      </c>
      <c r="C26" s="9" t="s">
        <v>50</v>
      </c>
      <c r="F26" s="18" t="s">
        <v>51</v>
      </c>
      <c r="G26" s="9" t="s">
        <v>52</v>
      </c>
      <c r="J26" s="24" t="s">
        <v>27</v>
      </c>
      <c r="K26" s="9" t="s">
        <v>57</v>
      </c>
      <c r="N26" s="15" t="s">
        <v>18</v>
      </c>
      <c r="O26" s="9" t="s">
        <v>50</v>
      </c>
      <c r="R26" s="18" t="s">
        <v>18</v>
      </c>
      <c r="S26" s="9" t="s">
        <v>52</v>
      </c>
      <c r="V26" s="15" t="s">
        <v>18</v>
      </c>
      <c r="W26" s="9" t="s">
        <v>50</v>
      </c>
      <c r="Z26" s="18" t="s">
        <v>18</v>
      </c>
      <c r="AA26" s="9" t="s">
        <v>52</v>
      </c>
      <c r="AD26" s="14" t="s">
        <v>45</v>
      </c>
      <c r="AE26" s="9" t="s">
        <v>48</v>
      </c>
      <c r="AH26" s="15" t="s">
        <v>45</v>
      </c>
      <c r="AI26" s="9" t="s">
        <v>50</v>
      </c>
    </row>
    <row r="27" spans="2:35" x14ac:dyDescent="0.35">
      <c r="B27" s="16" t="s">
        <v>37</v>
      </c>
      <c r="C27" s="17" t="s">
        <v>50</v>
      </c>
      <c r="F27" s="19" t="s">
        <v>37</v>
      </c>
      <c r="G27" s="17" t="s">
        <v>52</v>
      </c>
      <c r="J27" s="25" t="s">
        <v>19</v>
      </c>
      <c r="K27" s="17" t="s">
        <v>58</v>
      </c>
      <c r="N27" s="19" t="s">
        <v>25</v>
      </c>
      <c r="O27" s="17" t="s">
        <v>52</v>
      </c>
      <c r="R27" s="26" t="s">
        <v>25</v>
      </c>
      <c r="S27" s="17" t="s">
        <v>53</v>
      </c>
      <c r="V27" s="19" t="s">
        <v>25</v>
      </c>
      <c r="W27" s="17" t="s">
        <v>52</v>
      </c>
      <c r="Z27" s="26" t="s">
        <v>25</v>
      </c>
      <c r="AA27" s="17" t="s">
        <v>53</v>
      </c>
      <c r="AD27" s="15" t="s">
        <v>18</v>
      </c>
      <c r="AE27" s="9" t="s">
        <v>50</v>
      </c>
      <c r="AH27" s="18" t="s">
        <v>18</v>
      </c>
      <c r="AI27" s="9" t="s">
        <v>52</v>
      </c>
    </row>
  </sheetData>
  <conditionalFormatting sqref="B4:C27">
    <cfRule type="cellIs" dxfId="140" priority="136" operator="equal">
      <formula>"p7"</formula>
    </cfRule>
    <cfRule type="cellIs" dxfId="138" priority="137" operator="equal">
      <formula>"p6"</formula>
    </cfRule>
    <cfRule type="cellIs" dxfId="139" priority="138" operator="equal">
      <formula>"p5"</formula>
    </cfRule>
    <cfRule type="cellIs" dxfId="137" priority="139" operator="equal">
      <formula>"p4"</formula>
    </cfRule>
    <cfRule type="cellIs" dxfId="136" priority="140" operator="equal">
      <formula>"p3"</formula>
    </cfRule>
    <cfRule type="cellIs" dxfId="135" priority="141" operator="equal">
      <formula>"p2"</formula>
    </cfRule>
    <cfRule type="cellIs" dxfId="141" priority="142" operator="equal">
      <formula>"p1"</formula>
    </cfRule>
  </conditionalFormatting>
  <conditionalFormatting sqref="F4:G27">
    <cfRule type="cellIs" dxfId="130" priority="94" operator="equal">
      <formula>"p7"</formula>
    </cfRule>
    <cfRule type="cellIs" dxfId="131" priority="95" operator="equal">
      <formula>"p6"</formula>
    </cfRule>
    <cfRule type="cellIs" dxfId="132" priority="96" operator="equal">
      <formula>"p5"</formula>
    </cfRule>
    <cfRule type="cellIs" dxfId="133" priority="97" operator="equal">
      <formula>"p4"</formula>
    </cfRule>
    <cfRule type="cellIs" dxfId="134" priority="98" operator="equal">
      <formula>"p3"</formula>
    </cfRule>
    <cfRule type="cellIs" dxfId="129" priority="99" operator="equal">
      <formula>"p2"</formula>
    </cfRule>
    <cfRule type="cellIs" dxfId="128" priority="100" operator="equal">
      <formula>"p1"</formula>
    </cfRule>
  </conditionalFormatting>
  <conditionalFormatting sqref="F5:G27">
    <cfRule type="cellIs" dxfId="127" priority="93" operator="equal">
      <formula>"p8"</formula>
    </cfRule>
  </conditionalFormatting>
  <conditionalFormatting sqref="J4:K4">
    <cfRule type="cellIs" dxfId="126" priority="129" operator="equal">
      <formula>"p7"</formula>
    </cfRule>
    <cfRule type="cellIs" dxfId="125" priority="130" operator="equal">
      <formula>"p6"</formula>
    </cfRule>
    <cfRule type="cellIs" dxfId="120" priority="131" operator="equal">
      <formula>"p5"</formula>
    </cfRule>
    <cfRule type="cellIs" dxfId="121" priority="132" operator="equal">
      <formula>"p4"</formula>
    </cfRule>
    <cfRule type="cellIs" dxfId="122" priority="133" operator="equal">
      <formula>"p3"</formula>
    </cfRule>
    <cfRule type="cellIs" dxfId="123" priority="134" operator="equal">
      <formula>"p2"</formula>
    </cfRule>
    <cfRule type="cellIs" dxfId="124" priority="135" operator="equal">
      <formula>"p1"</formula>
    </cfRule>
  </conditionalFormatting>
  <conditionalFormatting sqref="J5:K27 AD5:AE27">
    <cfRule type="cellIs" dxfId="118" priority="80" operator="equal">
      <formula>"p13"</formula>
    </cfRule>
    <cfRule type="cellIs" dxfId="117" priority="81" operator="equal">
      <formula>"p12"</formula>
    </cfRule>
    <cfRule type="cellIs" dxfId="119" priority="82" operator="equal">
      <formula>"p11"</formula>
    </cfRule>
    <cfRule type="cellIs" dxfId="116" priority="83" operator="equal">
      <formula>"p10"</formula>
    </cfRule>
    <cfRule type="cellIs" dxfId="115" priority="84" operator="equal">
      <formula>"p9"</formula>
    </cfRule>
  </conditionalFormatting>
  <conditionalFormatting sqref="K5:K27 AE5:AE27">
    <cfRule type="cellIs" dxfId="107" priority="85" operator="equal">
      <formula>"p8"</formula>
    </cfRule>
    <cfRule type="cellIs" dxfId="108" priority="86" operator="equal">
      <formula>"p7"</formula>
    </cfRule>
    <cfRule type="cellIs" dxfId="109" priority="87" operator="equal">
      <formula>"p6"</formula>
    </cfRule>
    <cfRule type="cellIs" dxfId="110" priority="88" operator="equal">
      <formula>"p5"</formula>
    </cfRule>
    <cfRule type="cellIs" dxfId="113" priority="89" operator="equal">
      <formula>"p4"</formula>
    </cfRule>
    <cfRule type="cellIs" dxfId="111" priority="90" operator="equal">
      <formula>"p3"</formula>
    </cfRule>
    <cfRule type="cellIs" dxfId="112" priority="91" operator="equal">
      <formula>"p2"</formula>
    </cfRule>
    <cfRule type="cellIs" dxfId="114" priority="92" operator="equal">
      <formula>"p1"</formula>
    </cfRule>
  </conditionalFormatting>
  <conditionalFormatting sqref="N4:O4">
    <cfRule type="cellIs" dxfId="101" priority="122" operator="equal">
      <formula>"p7"</formula>
    </cfRule>
    <cfRule type="cellIs" dxfId="102" priority="123" operator="equal">
      <formula>"p6"</formula>
    </cfRule>
    <cfRule type="cellIs" dxfId="100" priority="124" operator="equal">
      <formula>"p5"</formula>
    </cfRule>
    <cfRule type="cellIs" dxfId="106" priority="125" operator="equal">
      <formula>"p4"</formula>
    </cfRule>
    <cfRule type="cellIs" dxfId="103" priority="126" operator="equal">
      <formula>"p3"</formula>
    </cfRule>
    <cfRule type="cellIs" dxfId="104" priority="127" operator="equal">
      <formula>"p2"</formula>
    </cfRule>
    <cfRule type="cellIs" dxfId="105" priority="128" operator="equal">
      <formula>"p1"</formula>
    </cfRule>
  </conditionalFormatting>
  <conditionalFormatting sqref="N5:O27">
    <cfRule type="cellIs" dxfId="96" priority="67" operator="equal">
      <formula>"p13"</formula>
    </cfRule>
    <cfRule type="cellIs" dxfId="97" priority="68" operator="equal">
      <formula>"p12"</formula>
    </cfRule>
    <cfRule type="cellIs" dxfId="98" priority="69" operator="equal">
      <formula>"p11"</formula>
    </cfRule>
    <cfRule type="cellIs" dxfId="95" priority="70" operator="equal">
      <formula>"p10"</formula>
    </cfRule>
    <cfRule type="cellIs" dxfId="99" priority="71" operator="equal">
      <formula>"p9"</formula>
    </cfRule>
  </conditionalFormatting>
  <conditionalFormatting sqref="O5:O27">
    <cfRule type="cellIs" dxfId="94" priority="72" operator="equal">
      <formula>"p8"</formula>
    </cfRule>
    <cfRule type="cellIs" dxfId="93" priority="73" operator="equal">
      <formula>"p7"</formula>
    </cfRule>
    <cfRule type="cellIs" dxfId="92" priority="74" operator="equal">
      <formula>"p6"</formula>
    </cfRule>
    <cfRule type="cellIs" dxfId="91" priority="75" operator="equal">
      <formula>"p5"</formula>
    </cfRule>
    <cfRule type="cellIs" dxfId="90" priority="76" operator="equal">
      <formula>"p4"</formula>
    </cfRule>
    <cfRule type="cellIs" dxfId="89" priority="77" operator="equal">
      <formula>"p3"</formula>
    </cfRule>
    <cfRule type="cellIs" dxfId="88" priority="78" operator="equal">
      <formula>"p2"</formula>
    </cfRule>
    <cfRule type="cellIs" dxfId="87" priority="79" operator="equal">
      <formula>"p1"</formula>
    </cfRule>
  </conditionalFormatting>
  <conditionalFormatting sqref="R4:S4">
    <cfRule type="cellIs" dxfId="86" priority="115" operator="equal">
      <formula>"p7"</formula>
    </cfRule>
    <cfRule type="cellIs" dxfId="80" priority="116" operator="equal">
      <formula>"p6"</formula>
    </cfRule>
    <cfRule type="cellIs" dxfId="81" priority="117" operator="equal">
      <formula>"p5"</formula>
    </cfRule>
    <cfRule type="cellIs" dxfId="82" priority="118" operator="equal">
      <formula>"p4"</formula>
    </cfRule>
    <cfRule type="cellIs" dxfId="83" priority="119" operator="equal">
      <formula>"p3"</formula>
    </cfRule>
    <cfRule type="cellIs" dxfId="84" priority="120" operator="equal">
      <formula>"p2"</formula>
    </cfRule>
    <cfRule type="cellIs" dxfId="85" priority="121" operator="equal">
      <formula>"p1"</formula>
    </cfRule>
  </conditionalFormatting>
  <conditionalFormatting sqref="R5:S27">
    <cfRule type="cellIs" dxfId="75" priority="54" operator="equal">
      <formula>"p13"</formula>
    </cfRule>
    <cfRule type="cellIs" dxfId="78" priority="55" operator="equal">
      <formula>"p12"</formula>
    </cfRule>
    <cfRule type="cellIs" dxfId="76" priority="56" operator="equal">
      <formula>"p11"</formula>
    </cfRule>
    <cfRule type="cellIs" dxfId="77" priority="57" operator="equal">
      <formula>"p10"</formula>
    </cfRule>
    <cfRule type="cellIs" dxfId="79" priority="58" operator="equal">
      <formula>"p9"</formula>
    </cfRule>
  </conditionalFormatting>
  <conditionalFormatting sqref="S5:S27">
    <cfRule type="cellIs" dxfId="70" priority="59" operator="equal">
      <formula>"p8"</formula>
    </cfRule>
    <cfRule type="cellIs" dxfId="71" priority="60" operator="equal">
      <formula>"p7"</formula>
    </cfRule>
    <cfRule type="cellIs" dxfId="72" priority="61" operator="equal">
      <formula>"p6"</formula>
    </cfRule>
    <cfRule type="cellIs" dxfId="73" priority="62" operator="equal">
      <formula>"p5"</formula>
    </cfRule>
    <cfRule type="cellIs" dxfId="74" priority="63" operator="equal">
      <formula>"p4"</formula>
    </cfRule>
    <cfRule type="cellIs" dxfId="67" priority="64" operator="equal">
      <formula>"p3"</formula>
    </cfRule>
    <cfRule type="cellIs" dxfId="68" priority="65" operator="equal">
      <formula>"p2"</formula>
    </cfRule>
    <cfRule type="cellIs" dxfId="69" priority="66" operator="equal">
      <formula>"p1"</formula>
    </cfRule>
  </conditionalFormatting>
  <conditionalFormatting sqref="V4:W4">
    <cfRule type="cellIs" dxfId="60" priority="108" operator="equal">
      <formula>"p7"</formula>
    </cfRule>
    <cfRule type="cellIs" dxfId="66" priority="109" operator="equal">
      <formula>"p6"</formula>
    </cfRule>
    <cfRule type="cellIs" dxfId="61" priority="110" operator="equal">
      <formula>"p5"</formula>
    </cfRule>
    <cfRule type="cellIs" dxfId="62" priority="111" operator="equal">
      <formula>"p4"</formula>
    </cfRule>
    <cfRule type="cellIs" dxfId="63" priority="112" operator="equal">
      <formula>"p3"</formula>
    </cfRule>
    <cfRule type="cellIs" dxfId="64" priority="113" operator="equal">
      <formula>"p2"</formula>
    </cfRule>
    <cfRule type="cellIs" dxfId="65" priority="114" operator="equal">
      <formula>"p1"</formula>
    </cfRule>
  </conditionalFormatting>
  <conditionalFormatting sqref="V5:W27">
    <cfRule type="cellIs" dxfId="59" priority="41" operator="equal">
      <formula>"p13"</formula>
    </cfRule>
    <cfRule type="cellIs" dxfId="55" priority="42" operator="equal">
      <formula>"p12"</formula>
    </cfRule>
    <cfRule type="cellIs" dxfId="56" priority="43" operator="equal">
      <formula>"p11"</formula>
    </cfRule>
    <cfRule type="cellIs" dxfId="58" priority="44" operator="equal">
      <formula>"p10"</formula>
    </cfRule>
    <cfRule type="cellIs" dxfId="57" priority="45" operator="equal">
      <formula>"p9"</formula>
    </cfRule>
  </conditionalFormatting>
  <conditionalFormatting sqref="W5:W27">
    <cfRule type="cellIs" dxfId="54" priority="46" operator="equal">
      <formula>"p8"</formula>
    </cfRule>
    <cfRule type="cellIs" dxfId="53" priority="47" operator="equal">
      <formula>"p7"</formula>
    </cfRule>
    <cfRule type="cellIs" dxfId="52" priority="48" operator="equal">
      <formula>"p6"</formula>
    </cfRule>
    <cfRule type="cellIs" dxfId="51" priority="49" operator="equal">
      <formula>"p5"</formula>
    </cfRule>
    <cfRule type="cellIs" dxfId="50" priority="50" operator="equal">
      <formula>"p4"</formula>
    </cfRule>
    <cfRule type="cellIs" dxfId="49" priority="51" operator="equal">
      <formula>"p3"</formula>
    </cfRule>
    <cfRule type="cellIs" dxfId="47" priority="52" operator="equal">
      <formula>"p2"</formula>
    </cfRule>
    <cfRule type="cellIs" dxfId="48" priority="53" operator="equal">
      <formula>"p1"</formula>
    </cfRule>
  </conditionalFormatting>
  <conditionalFormatting sqref="Z4:AA4">
    <cfRule type="cellIs" dxfId="44" priority="101" operator="equal">
      <formula>"p7"</formula>
    </cfRule>
    <cfRule type="cellIs" dxfId="45" priority="102" operator="equal">
      <formula>"p6"</formula>
    </cfRule>
    <cfRule type="cellIs" dxfId="46" priority="103" operator="equal">
      <formula>"p5"</formula>
    </cfRule>
    <cfRule type="cellIs" dxfId="43" priority="104" operator="equal">
      <formula>"p4"</formula>
    </cfRule>
    <cfRule type="cellIs" dxfId="42" priority="105" operator="equal">
      <formula>"p3"</formula>
    </cfRule>
    <cfRule type="cellIs" dxfId="41" priority="106" operator="equal">
      <formula>"p2"</formula>
    </cfRule>
    <cfRule type="cellIs" dxfId="40" priority="107" operator="equal">
      <formula>"p1"</formula>
    </cfRule>
  </conditionalFormatting>
  <conditionalFormatting sqref="Z5:AA27">
    <cfRule type="cellIs" dxfId="39" priority="28" operator="equal">
      <formula>"p13"</formula>
    </cfRule>
    <cfRule type="cellIs" dxfId="38" priority="29" operator="equal">
      <formula>"p12"</formula>
    </cfRule>
    <cfRule type="cellIs" dxfId="37" priority="30" operator="equal">
      <formula>"p11"</formula>
    </cfRule>
    <cfRule type="cellIs" dxfId="35" priority="31" operator="equal">
      <formula>"p10"</formula>
    </cfRule>
    <cfRule type="cellIs" dxfId="36" priority="32" operator="equal">
      <formula>"p9"</formula>
    </cfRule>
  </conditionalFormatting>
  <conditionalFormatting sqref="AA5:AA27">
    <cfRule type="cellIs" dxfId="28" priority="33" operator="equal">
      <formula>"p8"</formula>
    </cfRule>
    <cfRule type="cellIs" dxfId="29" priority="34" operator="equal">
      <formula>"p7"</formula>
    </cfRule>
    <cfRule type="cellIs" dxfId="34" priority="35" operator="equal">
      <formula>"p6"</formula>
    </cfRule>
    <cfRule type="cellIs" dxfId="30" priority="36" operator="equal">
      <formula>"p5"</formula>
    </cfRule>
    <cfRule type="cellIs" dxfId="27" priority="37" operator="equal">
      <formula>"p4"</formula>
    </cfRule>
    <cfRule type="cellIs" dxfId="31" priority="38" operator="equal">
      <formula>"p3"</formula>
    </cfRule>
    <cfRule type="cellIs" dxfId="32" priority="39" operator="equal">
      <formula>"p2"</formula>
    </cfRule>
    <cfRule type="cellIs" dxfId="33" priority="40" operator="equal">
      <formula>"p1"</formula>
    </cfRule>
  </conditionalFormatting>
  <conditionalFormatting sqref="AD4:AE4">
    <cfRule type="cellIs" dxfId="22" priority="21" operator="equal">
      <formula>"p7"</formula>
    </cfRule>
    <cfRule type="cellIs" dxfId="23" priority="22" operator="equal">
      <formula>"p6"</formula>
    </cfRule>
    <cfRule type="cellIs" dxfId="24" priority="23" operator="equal">
      <formula>"p5"</formula>
    </cfRule>
    <cfRule type="cellIs" dxfId="25" priority="24" operator="equal">
      <formula>"p4"</formula>
    </cfRule>
    <cfRule type="cellIs" dxfId="26" priority="25" operator="equal">
      <formula>"p3"</formula>
    </cfRule>
    <cfRule type="cellIs" dxfId="20" priority="26" operator="equal">
      <formula>"p2"</formula>
    </cfRule>
    <cfRule type="cellIs" dxfId="21" priority="27" operator="equal">
      <formula>"p1"</formula>
    </cfRule>
  </conditionalFormatting>
  <conditionalFormatting sqref="AH4:AI4">
    <cfRule type="cellIs" dxfId="13" priority="14" operator="equal">
      <formula>"p7"</formula>
    </cfRule>
    <cfRule type="cellIs" dxfId="15" priority="15" operator="equal">
      <formula>"p6"</formula>
    </cfRule>
    <cfRule type="cellIs" dxfId="17" priority="16" operator="equal">
      <formula>"p5"</formula>
    </cfRule>
    <cfRule type="cellIs" dxfId="18" priority="17" operator="equal">
      <formula>"p4"</formula>
    </cfRule>
    <cfRule type="cellIs" dxfId="16" priority="18" operator="equal">
      <formula>"p3"</formula>
    </cfRule>
    <cfRule type="cellIs" dxfId="19" priority="19" operator="equal">
      <formula>"p2"</formula>
    </cfRule>
    <cfRule type="cellIs" dxfId="14" priority="20" operator="equal">
      <formula>"p1"</formula>
    </cfRule>
  </conditionalFormatting>
  <conditionalFormatting sqref="AH5:AI27">
    <cfRule type="cellIs" dxfId="8" priority="1" operator="equal">
      <formula>"p13"</formula>
    </cfRule>
    <cfRule type="cellIs" dxfId="12" priority="2" operator="equal">
      <formula>"p12"</formula>
    </cfRule>
    <cfRule type="cellIs" dxfId="11" priority="3" operator="equal">
      <formula>"p11"</formula>
    </cfRule>
    <cfRule type="cellIs" dxfId="10" priority="4" operator="equal">
      <formula>"p10"</formula>
    </cfRule>
    <cfRule type="cellIs" dxfId="9" priority="5" operator="equal">
      <formula>"p9"</formula>
    </cfRule>
  </conditionalFormatting>
  <conditionalFormatting sqref="AI5:AI27">
    <cfRule type="cellIs" dxfId="7" priority="6" operator="equal">
      <formula>"p8"</formula>
    </cfRule>
    <cfRule type="cellIs" dxfId="5" priority="7" operator="equal">
      <formula>"p7"</formula>
    </cfRule>
    <cfRule type="cellIs" dxfId="6" priority="8" operator="equal">
      <formula>"p6"</formula>
    </cfRule>
    <cfRule type="cellIs" dxfId="0" priority="9" operator="equal">
      <formula>"p5"</formula>
    </cfRule>
    <cfRule type="cellIs" dxfId="1" priority="10" operator="equal">
      <formula>"p4"</formula>
    </cfRule>
    <cfRule type="cellIs" dxfId="4" priority="11" operator="equal">
      <formula>"p3"</formula>
    </cfRule>
    <cfRule type="cellIs" dxfId="2" priority="12" operator="equal">
      <formula>"p2"</formula>
    </cfRule>
    <cfRule type="cellIs" dxfId="3" priority="13" operator="equal">
      <formula>"p1"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051-BCA3-405F-B673-471E1D4EE818}">
  <dimension ref="A1:I23"/>
  <sheetViews>
    <sheetView showGridLines="0" workbookViewId="0">
      <selection activeCell="C5" sqref="C5"/>
    </sheetView>
  </sheetViews>
  <sheetFormatPr baseColWidth="10" defaultRowHeight="14.5" x14ac:dyDescent="0.35"/>
  <cols>
    <col min="1" max="1" width="2.81640625" bestFit="1" customWidth="1"/>
    <col min="2" max="2" width="19.36328125" bestFit="1" customWidth="1"/>
    <col min="3" max="3" width="5.90625" bestFit="1" customWidth="1"/>
    <col min="4" max="4" width="6.36328125" bestFit="1" customWidth="1"/>
    <col min="5" max="7" width="5.90625" bestFit="1" customWidth="1"/>
    <col min="8" max="8" width="6.90625" bestFit="1" customWidth="1"/>
    <col min="9" max="9" width="6.08984375" bestFit="1" customWidth="1"/>
    <col min="11" max="11" width="16.26953125" customWidth="1"/>
    <col min="12" max="12" width="46.54296875" customWidth="1"/>
  </cols>
  <sheetData>
    <row r="1" spans="1:9" x14ac:dyDescent="0.35">
      <c r="A1" s="27">
        <v>15</v>
      </c>
    </row>
    <row r="2" spans="1:9" x14ac:dyDescent="0.35">
      <c r="B2" s="2" t="s">
        <v>0</v>
      </c>
      <c r="C2" s="2" t="s">
        <v>11</v>
      </c>
      <c r="D2" s="2" t="s">
        <v>22</v>
      </c>
      <c r="E2" s="2" t="s">
        <v>23</v>
      </c>
      <c r="F2" s="2" t="s">
        <v>61</v>
      </c>
      <c r="G2" s="2" t="s">
        <v>15</v>
      </c>
      <c r="H2" s="2" t="s">
        <v>60</v>
      </c>
      <c r="I2" s="2" t="s">
        <v>17</v>
      </c>
    </row>
    <row r="3" spans="1:9" x14ac:dyDescent="0.35">
      <c r="B3" s="1" t="s">
        <v>1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0</v>
      </c>
    </row>
    <row r="4" spans="1:9" x14ac:dyDescent="0.35">
      <c r="B4" s="5" t="s">
        <v>28</v>
      </c>
      <c r="C4" s="6">
        <f>VLOOKUP($A$1,[1]resultados_proyectados_proporci!$A$1:$AA$29,MATCH(C$2,[1]resultados_proyectados_proporci!$A$1:$AA$1,0),FALSE)</f>
        <v>2.3508747473339298E-2</v>
      </c>
      <c r="D4" s="6">
        <f>VLOOKUP($A$1,[1]resultados_proyectados_proporci!$A$1:$AA$29,MATCH(D$2,[1]resultados_proyectados_proporci!$A$1:$AA$1,0),FALSE)</f>
        <v>4.2696034014079502E-2</v>
      </c>
      <c r="E4" s="6">
        <f>VLOOKUP($A$1,[1]resultados_proyectados_proporci!$A$1:$AA$29,MATCH(E$2,[1]resultados_proyectados_proporci!$A$1:$AA$1,0),FALSE)</f>
        <v>5.2674426709416598E-2</v>
      </c>
      <c r="F4" s="6">
        <f>VLOOKUP($A$1,[1]resultados_proyectados_proporci!$A$1:$AA$29,MATCH(F$2,[1]resultados_proyectados_proporci!$A$1:$AA$1,0),FALSE)</f>
        <v>5.2794312399804803E-2</v>
      </c>
      <c r="G4" s="6">
        <f>VLOOKUP($A$1,[1]resultados_proyectados_proporci!$A$1:$AA$29,MATCH(G$2,[1]resultados_proyectados_proporci!$A$1:$AA$1,0),FALSE)</f>
        <v>7.8909876629260398E-2</v>
      </c>
      <c r="H4" s="6">
        <f>VLOOKUP($A$1,[1]resultados_proyectados_proporci!$A$1:$AA$29,MATCH(H$2,[1]resultados_proyectados_proporci!$A$1:$AA$1,0),FALSE)</f>
        <v>0.14930229316233301</v>
      </c>
      <c r="I4" s="6">
        <f>VLOOKUP($A$1,[1]resultados_proyectados_proporci!$A$1:$AA$29,MATCH(I$2,[1]resultados_proyectados_proporci!$A$1:$AA$1,0),FALSE)</f>
        <v>4.73004809367812E-2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0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0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0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1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0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0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0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ht="6.5" customHeight="1" thickBot="1" x14ac:dyDescent="0.4"/>
    <row r="14" spans="1:9" ht="14.5" customHeight="1" x14ac:dyDescent="0.35">
      <c r="B14" s="31" t="s">
        <v>63</v>
      </c>
      <c r="C14" s="32"/>
      <c r="D14" s="32"/>
      <c r="E14" s="32"/>
      <c r="F14" s="32"/>
      <c r="G14" s="32"/>
      <c r="H14" s="32"/>
      <c r="I14" s="33"/>
    </row>
    <row r="15" spans="1:9" x14ac:dyDescent="0.35">
      <c r="B15" s="34"/>
      <c r="C15" s="35"/>
      <c r="D15" s="35"/>
      <c r="E15" s="35"/>
      <c r="F15" s="35"/>
      <c r="G15" s="35"/>
      <c r="H15" s="35"/>
      <c r="I15" s="36"/>
    </row>
    <row r="16" spans="1:9" x14ac:dyDescent="0.35">
      <c r="B16" s="34"/>
      <c r="C16" s="35"/>
      <c r="D16" s="35"/>
      <c r="E16" s="35"/>
      <c r="F16" s="35"/>
      <c r="G16" s="35"/>
      <c r="H16" s="35"/>
      <c r="I16" s="36"/>
    </row>
    <row r="17" spans="2:9" x14ac:dyDescent="0.35">
      <c r="B17" s="34"/>
      <c r="C17" s="35"/>
      <c r="D17" s="35"/>
      <c r="E17" s="35"/>
      <c r="F17" s="35"/>
      <c r="G17" s="35"/>
      <c r="H17" s="35"/>
      <c r="I17" s="36"/>
    </row>
    <row r="18" spans="2:9" x14ac:dyDescent="0.35">
      <c r="B18" s="34"/>
      <c r="C18" s="35"/>
      <c r="D18" s="35"/>
      <c r="E18" s="35"/>
      <c r="F18" s="35"/>
      <c r="G18" s="35"/>
      <c r="H18" s="35"/>
      <c r="I18" s="36"/>
    </row>
    <row r="19" spans="2:9" x14ac:dyDescent="0.35">
      <c r="B19" s="34"/>
      <c r="C19" s="35"/>
      <c r="D19" s="35"/>
      <c r="E19" s="35"/>
      <c r="F19" s="35"/>
      <c r="G19" s="35"/>
      <c r="H19" s="35"/>
      <c r="I19" s="36"/>
    </row>
    <row r="20" spans="2:9" x14ac:dyDescent="0.35">
      <c r="B20" s="34"/>
      <c r="C20" s="35"/>
      <c r="D20" s="35"/>
      <c r="E20" s="35"/>
      <c r="F20" s="35"/>
      <c r="G20" s="35"/>
      <c r="H20" s="35"/>
      <c r="I20" s="36"/>
    </row>
    <row r="21" spans="2:9" x14ac:dyDescent="0.35">
      <c r="B21" s="34"/>
      <c r="C21" s="35"/>
      <c r="D21" s="35"/>
      <c r="E21" s="35"/>
      <c r="F21" s="35"/>
      <c r="G21" s="35"/>
      <c r="H21" s="35"/>
      <c r="I21" s="36"/>
    </row>
    <row r="22" spans="2:9" x14ac:dyDescent="0.35">
      <c r="B22" s="34"/>
      <c r="C22" s="35"/>
      <c r="D22" s="35"/>
      <c r="E22" s="35"/>
      <c r="F22" s="35"/>
      <c r="G22" s="35"/>
      <c r="H22" s="35"/>
      <c r="I22" s="36"/>
    </row>
    <row r="23" spans="2:9" ht="79" customHeight="1" thickBot="1" x14ac:dyDescent="0.4">
      <c r="B23" s="37"/>
      <c r="C23" s="38"/>
      <c r="D23" s="38"/>
      <c r="E23" s="38"/>
      <c r="F23" s="38"/>
      <c r="G23" s="38"/>
      <c r="H23" s="38"/>
      <c r="I23" s="39"/>
    </row>
  </sheetData>
  <mergeCells count="1">
    <mergeCell ref="B14:I23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AE84-88BE-4054-A4FA-FD43BA13B48C}">
  <dimension ref="A1:H23"/>
  <sheetViews>
    <sheetView showGridLines="0" zoomScaleNormal="100" workbookViewId="0">
      <selection activeCell="C5" sqref="C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6" width="5.90625" bestFit="1" customWidth="1"/>
    <col min="7" max="7" width="6.90625" bestFit="1" customWidth="1"/>
    <col min="8" max="8" width="5.90625" bestFit="1" customWidth="1"/>
    <col min="9" max="9" width="46" customWidth="1"/>
  </cols>
  <sheetData>
    <row r="1" spans="1:8" x14ac:dyDescent="0.35">
      <c r="A1" s="27">
        <v>1</v>
      </c>
    </row>
    <row r="2" spans="1:8" x14ac:dyDescent="0.35">
      <c r="B2" s="2" t="s">
        <v>0</v>
      </c>
      <c r="C2" s="2" t="s">
        <v>11</v>
      </c>
      <c r="D2" s="2" t="s">
        <v>14</v>
      </c>
      <c r="E2" s="2" t="s">
        <v>23</v>
      </c>
      <c r="F2" s="2" t="s">
        <v>15</v>
      </c>
      <c r="G2" s="2" t="s">
        <v>60</v>
      </c>
      <c r="H2" s="2" t="s">
        <v>20</v>
      </c>
    </row>
    <row r="3" spans="1:8" x14ac:dyDescent="0.35">
      <c r="B3" s="1" t="s">
        <v>1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0</v>
      </c>
    </row>
    <row r="4" spans="1:8" x14ac:dyDescent="0.35">
      <c r="B4" s="5" t="s">
        <v>28</v>
      </c>
      <c r="C4" s="6">
        <f>VLOOKUP($A$1,[1]resultados_proyectados_proporci!$A$1:$AA$29,MATCH(C$2,[1]resultados_proyectados_proporci!$A$1:$AA$1,0),FALSE)</f>
        <v>3.69628738310364E-2</v>
      </c>
      <c r="D4" s="6">
        <f>VLOOKUP($A$1,[1]resultados_proyectados_proporci!$A$1:$AA$29,MATCH(D$2,[1]resultados_proyectados_proporci!$A$1:$AA$1,0),FALSE)</f>
        <v>3.4214412632511397E-2</v>
      </c>
      <c r="E4" s="6">
        <f>VLOOKUP($A$1,[1]resultados_proyectados_proporci!$A$1:$AA$29,MATCH(E$2,[1]resultados_proyectados_proporci!$A$1:$AA$1,0),FALSE)</f>
        <v>5.8876060015043502E-2</v>
      </c>
      <c r="F4" s="6">
        <f>VLOOKUP($A$1,[1]resultados_proyectados_proporci!$A$1:$AA$29,MATCH(F$2,[1]resultados_proyectados_proporci!$A$1:$AA$1,0),FALSE)</f>
        <v>9.1851470829876006E-2</v>
      </c>
      <c r="G4" s="6">
        <f>VLOOKUP($A$1,[1]resultados_proyectados_proporci!$A$1:$AA$29,MATCH(G$2,[1]resultados_proyectados_proporci!$A$1:$AA$1,0),FALSE)</f>
        <v>0.121981463961274</v>
      </c>
      <c r="H4" s="6">
        <f>VLOOKUP($A$1,[1]resultados_proyectados_proporci!$A$1:$AA$29,MATCH(H$2,[1]resultados_proyectados_proporci!$A$1:$AA$1,0),FALSE)</f>
        <v>5.6262317300813103E-2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1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0</v>
      </c>
    </row>
    <row r="13" spans="1:8" ht="15" thickBot="1" x14ac:dyDescent="0.4"/>
    <row r="14" spans="1:8" ht="14.5" customHeight="1" x14ac:dyDescent="0.35">
      <c r="B14" s="31" t="s">
        <v>64</v>
      </c>
      <c r="C14" s="32"/>
      <c r="D14" s="32"/>
      <c r="E14" s="32"/>
      <c r="F14" s="32"/>
      <c r="G14" s="32"/>
      <c r="H14" s="33"/>
    </row>
    <row r="15" spans="1:8" x14ac:dyDescent="0.35">
      <c r="B15" s="34"/>
      <c r="C15" s="35"/>
      <c r="D15" s="35"/>
      <c r="E15" s="35"/>
      <c r="F15" s="35"/>
      <c r="G15" s="35"/>
      <c r="H15" s="36"/>
    </row>
    <row r="16" spans="1:8" x14ac:dyDescent="0.35">
      <c r="B16" s="34"/>
      <c r="C16" s="35"/>
      <c r="D16" s="35"/>
      <c r="E16" s="35"/>
      <c r="F16" s="35"/>
      <c r="G16" s="35"/>
      <c r="H16" s="36"/>
    </row>
    <row r="17" spans="2:8" x14ac:dyDescent="0.35">
      <c r="B17" s="34"/>
      <c r="C17" s="35"/>
      <c r="D17" s="35"/>
      <c r="E17" s="35"/>
      <c r="F17" s="35"/>
      <c r="G17" s="35"/>
      <c r="H17" s="36"/>
    </row>
    <row r="18" spans="2:8" x14ac:dyDescent="0.35">
      <c r="B18" s="34"/>
      <c r="C18" s="35"/>
      <c r="D18" s="35"/>
      <c r="E18" s="35"/>
      <c r="F18" s="35"/>
      <c r="G18" s="35"/>
      <c r="H18" s="36"/>
    </row>
    <row r="19" spans="2:8" x14ac:dyDescent="0.35">
      <c r="B19" s="34"/>
      <c r="C19" s="35"/>
      <c r="D19" s="35"/>
      <c r="E19" s="35"/>
      <c r="F19" s="35"/>
      <c r="G19" s="35"/>
      <c r="H19" s="36"/>
    </row>
    <row r="20" spans="2:8" x14ac:dyDescent="0.35">
      <c r="B20" s="34"/>
      <c r="C20" s="35"/>
      <c r="D20" s="35"/>
      <c r="E20" s="35"/>
      <c r="F20" s="35"/>
      <c r="G20" s="35"/>
      <c r="H20" s="36"/>
    </row>
    <row r="21" spans="2:8" x14ac:dyDescent="0.35">
      <c r="B21" s="34"/>
      <c r="C21" s="35"/>
      <c r="D21" s="35"/>
      <c r="E21" s="35"/>
      <c r="F21" s="35"/>
      <c r="G21" s="35"/>
      <c r="H21" s="36"/>
    </row>
    <row r="22" spans="2:8" x14ac:dyDescent="0.35">
      <c r="B22" s="34"/>
      <c r="C22" s="35"/>
      <c r="D22" s="35"/>
      <c r="E22" s="35"/>
      <c r="F22" s="35"/>
      <c r="G22" s="35"/>
      <c r="H22" s="36"/>
    </row>
    <row r="23" spans="2:8" ht="87" customHeight="1" thickBot="1" x14ac:dyDescent="0.4">
      <c r="B23" s="37"/>
      <c r="C23" s="38"/>
      <c r="D23" s="38"/>
      <c r="E23" s="38"/>
      <c r="F23" s="38"/>
      <c r="G23" s="38"/>
      <c r="H23" s="39"/>
    </row>
  </sheetData>
  <mergeCells count="1">
    <mergeCell ref="B14:H2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733F-34D0-4D88-A6B5-E28376F26D12}">
  <dimension ref="A1:H23"/>
  <sheetViews>
    <sheetView showGridLines="0" workbookViewId="0">
      <selection activeCell="C5" sqref="C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5.90625" bestFit="1" customWidth="1"/>
    <col min="4" max="4" width="6.36328125" bestFit="1" customWidth="1"/>
    <col min="5" max="5" width="5.90625" bestFit="1" customWidth="1"/>
    <col min="6" max="6" width="6.90625" bestFit="1" customWidth="1"/>
    <col min="7" max="7" width="6.08984375" bestFit="1" customWidth="1"/>
    <col min="8" max="8" width="5.90625" bestFit="1" customWidth="1"/>
    <col min="10" max="10" width="16.26953125" customWidth="1"/>
    <col min="11" max="11" width="46" customWidth="1"/>
  </cols>
  <sheetData>
    <row r="1" spans="1:8" x14ac:dyDescent="0.35">
      <c r="A1" s="27">
        <v>3</v>
      </c>
    </row>
    <row r="2" spans="1:8" x14ac:dyDescent="0.35">
      <c r="B2" s="2" t="s">
        <v>0</v>
      </c>
      <c r="C2" s="2" t="s">
        <v>11</v>
      </c>
      <c r="D2" s="2" t="s">
        <v>12</v>
      </c>
      <c r="E2" s="2" t="s">
        <v>22</v>
      </c>
      <c r="F2" s="2" t="s">
        <v>15</v>
      </c>
      <c r="G2" s="2" t="s">
        <v>17</v>
      </c>
      <c r="H2" s="2" t="s">
        <v>20</v>
      </c>
    </row>
    <row r="3" spans="1:8" x14ac:dyDescent="0.35">
      <c r="B3" s="1" t="s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</row>
    <row r="4" spans="1:8" x14ac:dyDescent="0.35">
      <c r="B4" s="5" t="s">
        <v>28</v>
      </c>
      <c r="C4" s="6">
        <f>VLOOKUP($A$1,[1]resultados_proyectados_proporci!$A$1:$AA$29,MATCH(C$2,[1]resultados_proyectados_proporci!$A$1:$AA$1,0),FALSE)</f>
        <v>3.9417319956760503E-2</v>
      </c>
      <c r="D4" s="6">
        <f>VLOOKUP($A$1,[1]resultados_proyectados_proporci!$A$1:$AA$29,MATCH(D$2,[1]resultados_proyectados_proporci!$A$1:$AA$1,0),FALSE)</f>
        <v>8.7931659300052895E-2</v>
      </c>
      <c r="E4" s="6">
        <f>VLOOKUP($A$1,[1]resultados_proyectados_proporci!$A$1:$AA$29,MATCH(E$2,[1]resultados_proyectados_proporci!$A$1:$AA$1,0),FALSE)</f>
        <v>8.2266542358286801E-2</v>
      </c>
      <c r="F4" s="6">
        <f>VLOOKUP($A$1,[1]resultados_proyectados_proporci!$A$1:$AA$29,MATCH(F$2,[1]resultados_proyectados_proporci!$A$1:$AA$1,0),FALSE)</f>
        <v>0.107729110978267</v>
      </c>
      <c r="G4" s="6">
        <f>VLOOKUP($A$1,[1]resultados_proyectados_proporci!$A$1:$AA$29,MATCH(G$2,[1]resultados_proyectados_proporci!$A$1:$AA$1,0),FALSE)</f>
        <v>7.5657755490372805E-2</v>
      </c>
      <c r="H4" s="6">
        <f>VLOOKUP($A$1,[1]resultados_proyectados_proporci!$A$1:$AA$29,MATCH(H$2,[1]resultados_proyectados_proporci!$A$1:$AA$1,0),FALSE)</f>
        <v>1.94526094951365E-2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1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0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1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0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1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0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1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0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1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0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1</v>
      </c>
      <c r="E10" s="4">
        <f>VLOOKUP($A$1,[7]resultados_integracion_partido_!$A$1:$AA$29,MATCH(E$2,[7]resultados_integracion_partido_!$A$1:$AA$1,0),FALSE)</f>
        <v>1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0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0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1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0</v>
      </c>
      <c r="H12" s="4">
        <f>VLOOKUP($A$1,[9]resultados_integracion_partido_!$A$1:$AA$29,MATCH(H$2,[9]resultados_integracion_partido_!$A$1:$AA$1,0),FALSE)</f>
        <v>0</v>
      </c>
    </row>
    <row r="13" spans="1:8" ht="15" thickBot="1" x14ac:dyDescent="0.4"/>
    <row r="14" spans="1:8" ht="14.5" customHeight="1" x14ac:dyDescent="0.35">
      <c r="B14" s="31" t="s">
        <v>64</v>
      </c>
      <c r="C14" s="32"/>
      <c r="D14" s="32"/>
      <c r="E14" s="32"/>
      <c r="F14" s="32"/>
      <c r="G14" s="32"/>
      <c r="H14" s="33"/>
    </row>
    <row r="15" spans="1:8" x14ac:dyDescent="0.35">
      <c r="B15" s="34"/>
      <c r="C15" s="35"/>
      <c r="D15" s="35"/>
      <c r="E15" s="35"/>
      <c r="F15" s="35"/>
      <c r="G15" s="35"/>
      <c r="H15" s="36"/>
    </row>
    <row r="16" spans="1:8" x14ac:dyDescent="0.35">
      <c r="B16" s="34"/>
      <c r="C16" s="35"/>
      <c r="D16" s="35"/>
      <c r="E16" s="35"/>
      <c r="F16" s="35"/>
      <c r="G16" s="35"/>
      <c r="H16" s="36"/>
    </row>
    <row r="17" spans="2:8" x14ac:dyDescent="0.35">
      <c r="B17" s="34"/>
      <c r="C17" s="35"/>
      <c r="D17" s="35"/>
      <c r="E17" s="35"/>
      <c r="F17" s="35"/>
      <c r="G17" s="35"/>
      <c r="H17" s="36"/>
    </row>
    <row r="18" spans="2:8" x14ac:dyDescent="0.35">
      <c r="B18" s="34"/>
      <c r="C18" s="35"/>
      <c r="D18" s="35"/>
      <c r="E18" s="35"/>
      <c r="F18" s="35"/>
      <c r="G18" s="35"/>
      <c r="H18" s="36"/>
    </row>
    <row r="19" spans="2:8" x14ac:dyDescent="0.35">
      <c r="B19" s="34"/>
      <c r="C19" s="35"/>
      <c r="D19" s="35"/>
      <c r="E19" s="35"/>
      <c r="F19" s="35"/>
      <c r="G19" s="35"/>
      <c r="H19" s="36"/>
    </row>
    <row r="20" spans="2:8" x14ac:dyDescent="0.35">
      <c r="B20" s="34"/>
      <c r="C20" s="35"/>
      <c r="D20" s="35"/>
      <c r="E20" s="35"/>
      <c r="F20" s="35"/>
      <c r="G20" s="35"/>
      <c r="H20" s="36"/>
    </row>
    <row r="21" spans="2:8" x14ac:dyDescent="0.35">
      <c r="B21" s="34"/>
      <c r="C21" s="35"/>
      <c r="D21" s="35"/>
      <c r="E21" s="35"/>
      <c r="F21" s="35"/>
      <c r="G21" s="35"/>
      <c r="H21" s="36"/>
    </row>
    <row r="22" spans="2:8" x14ac:dyDescent="0.35">
      <c r="B22" s="34"/>
      <c r="C22" s="35"/>
      <c r="D22" s="35"/>
      <c r="E22" s="35"/>
      <c r="F22" s="35"/>
      <c r="G22" s="35"/>
      <c r="H22" s="36"/>
    </row>
    <row r="23" spans="2:8" ht="97.5" customHeight="1" thickBot="1" x14ac:dyDescent="0.4">
      <c r="B23" s="37"/>
      <c r="C23" s="38"/>
      <c r="D23" s="38"/>
      <c r="E23" s="38"/>
      <c r="F23" s="38"/>
      <c r="G23" s="38"/>
      <c r="H23" s="39"/>
    </row>
  </sheetData>
  <mergeCells count="1">
    <mergeCell ref="B14:H2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20F0-81EA-4B55-8BF5-5CBED46DDED6}">
  <dimension ref="A1:I23"/>
  <sheetViews>
    <sheetView showGridLines="0" zoomScaleNormal="100" workbookViewId="0">
      <selection activeCell="C5" sqref="C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4" width="5.90625" bestFit="1" customWidth="1"/>
    <col min="5" max="5" width="6.90625" bestFit="1" customWidth="1"/>
    <col min="6" max="6" width="5.90625" bestFit="1" customWidth="1"/>
    <col min="7" max="7" width="6.08984375" bestFit="1" customWidth="1"/>
    <col min="8" max="8" width="6.90625" bestFit="1" customWidth="1"/>
    <col min="9" max="9" width="5.90625" bestFit="1" customWidth="1"/>
    <col min="11" max="11" width="16.26953125" customWidth="1"/>
    <col min="12" max="12" width="46.6328125" customWidth="1"/>
  </cols>
  <sheetData>
    <row r="1" spans="1:9" x14ac:dyDescent="0.35">
      <c r="A1" s="27">
        <v>5</v>
      </c>
    </row>
    <row r="2" spans="1:9" x14ac:dyDescent="0.35">
      <c r="B2" s="2" t="s">
        <v>0</v>
      </c>
      <c r="C2" s="2" t="s">
        <v>11</v>
      </c>
      <c r="D2" s="2" t="s">
        <v>14</v>
      </c>
      <c r="E2" s="2" t="s">
        <v>15</v>
      </c>
      <c r="F2" s="2" t="s">
        <v>23</v>
      </c>
      <c r="G2" s="2" t="s">
        <v>17</v>
      </c>
      <c r="H2" s="2" t="s">
        <v>60</v>
      </c>
      <c r="I2" s="2" t="s">
        <v>20</v>
      </c>
    </row>
    <row r="3" spans="1:9" x14ac:dyDescent="0.35">
      <c r="B3" s="1" t="s">
        <v>1</v>
      </c>
      <c r="C3" s="3">
        <v>1</v>
      </c>
      <c r="D3" s="3">
        <v>1</v>
      </c>
      <c r="E3" s="3">
        <v>2</v>
      </c>
      <c r="F3" s="3">
        <v>0</v>
      </c>
      <c r="G3" s="3">
        <v>0</v>
      </c>
      <c r="H3" s="3">
        <v>0</v>
      </c>
      <c r="I3" s="3">
        <v>0</v>
      </c>
    </row>
    <row r="4" spans="1:9" x14ac:dyDescent="0.35">
      <c r="B4" s="5" t="s">
        <v>29</v>
      </c>
      <c r="C4" s="6">
        <f>VLOOKUP($A$1,[1]resultados_proyectados_proporci!$A$1:$AA$29,MATCH(C$2,[1]resultados_proyectados_proporci!$A$1:$AA$1,0),FALSE)</f>
        <v>7.5344175533315502E-2</v>
      </c>
      <c r="D4" s="6">
        <f>VLOOKUP($A$1,[1]resultados_proyectados_proporci!$A$1:$AA$29,MATCH(D$2,[1]resultados_proyectados_proporci!$A$1:$AA$1,0),FALSE)</f>
        <v>3.3914876005763699E-2</v>
      </c>
      <c r="E4" s="6">
        <f>VLOOKUP($A$1,[1]resultados_proyectados_proporci!$A$1:$AA$29,MATCH(E$2,[1]resultados_proyectados_proporci!$A$1:$AA$1,0),FALSE)</f>
        <v>0.10626961654006201</v>
      </c>
      <c r="F4" s="6">
        <f>VLOOKUP($A$1,[1]resultados_proyectados_proporci!$A$1:$AA$29,MATCH(F$2,[1]resultados_proyectados_proporci!$A$1:$AA$1,0),FALSE)</f>
        <v>6.4773075180236298E-2</v>
      </c>
      <c r="G4" s="6">
        <f>VLOOKUP($A$1,[1]resultados_proyectados_proporci!$A$1:$AA$29,MATCH(G$2,[1]resultados_proyectados_proporci!$A$1:$AA$1,0),FALSE)</f>
        <v>6.1068228740051703E-2</v>
      </c>
      <c r="H4" s="6">
        <f>VLOOKUP($A$1,[1]resultados_proyectados_proporci!$A$1:$AA$29,MATCH(H$2,[1]resultados_proyectados_proporci!$A$1:$AA$1,0),FALSE)</f>
        <v>0.1371598002144</v>
      </c>
      <c r="I4" s="6">
        <f>VLOOKUP($A$1,[1]resultados_proyectados_proporci!$A$1:$AA$29,MATCH(I$2,[1]resultados_proyectados_proporci!$A$1:$AA$1,0),FALSE)</f>
        <v>4.6696923507655301E-2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1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1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0</v>
      </c>
      <c r="H5" s="4">
        <f>VLOOKUP($A$1,[2]resultados_integracion_partido_!$A$1:$AA$29,MATCH(H$2,[2]resultados_integracion_partido_!$A$1:$AA$1,0),FALSE)</f>
        <v>2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1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1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2</v>
      </c>
      <c r="I6" s="4">
        <f>VLOOKUP($A$1,[3]resultados_integracion_partido_!$A$1:$AA$29,MATCH(I$2,[3]resultados_integracion_partido_!$A$1:$AA$1,0),FALSE)</f>
        <v>1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1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1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2</v>
      </c>
      <c r="I7" s="4">
        <f>VLOOKUP($A$1,[4]resultados_integracion_partido_!$A$1:$AA$29,MATCH(I$2,[4]resultados_integracion_partido_!$A$1:$AA$1,0),FALSE)</f>
        <v>1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1</v>
      </c>
      <c r="F8" s="4">
        <f>VLOOKUP($A$1,[5]resultados_integracion_partido_!$A$1:$AA$29,MATCH(F$2,[5]resultados_integracion_partido_!$A$1:$AA$1,0),FALSE)</f>
        <v>1</v>
      </c>
      <c r="G8" s="4">
        <f>VLOOKUP($A$1,[5]resultados_integracion_partido_!$A$1:$AA$29,MATCH(G$2,[5]resultados_integracion_partido_!$A$1:$AA$1,0),FALSE)</f>
        <v>0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1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1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1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1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1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1</v>
      </c>
      <c r="F10" s="4">
        <f>VLOOKUP($A$1,[7]resultados_integracion_partido_!$A$1:$AA$29,MATCH(F$2,[7]resultados_integracion_partido_!$A$1:$AA$1,0),FALSE)</f>
        <v>1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1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1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ht="15" thickBot="1" x14ac:dyDescent="0.4"/>
    <row r="14" spans="1:9" ht="14.5" customHeight="1" x14ac:dyDescent="0.35">
      <c r="B14" s="31" t="s">
        <v>64</v>
      </c>
      <c r="C14" s="32"/>
      <c r="D14" s="32"/>
      <c r="E14" s="32"/>
      <c r="F14" s="32"/>
      <c r="G14" s="32"/>
      <c r="H14" s="32"/>
      <c r="I14" s="33"/>
    </row>
    <row r="15" spans="1:9" x14ac:dyDescent="0.35">
      <c r="B15" s="34"/>
      <c r="C15" s="35"/>
      <c r="D15" s="35"/>
      <c r="E15" s="35"/>
      <c r="F15" s="35"/>
      <c r="G15" s="35"/>
      <c r="H15" s="35"/>
      <c r="I15" s="36"/>
    </row>
    <row r="16" spans="1:9" x14ac:dyDescent="0.35">
      <c r="B16" s="34"/>
      <c r="C16" s="35"/>
      <c r="D16" s="35"/>
      <c r="E16" s="35"/>
      <c r="F16" s="35"/>
      <c r="G16" s="35"/>
      <c r="H16" s="35"/>
      <c r="I16" s="36"/>
    </row>
    <row r="17" spans="2:9" x14ac:dyDescent="0.35">
      <c r="B17" s="34"/>
      <c r="C17" s="35"/>
      <c r="D17" s="35"/>
      <c r="E17" s="35"/>
      <c r="F17" s="35"/>
      <c r="G17" s="35"/>
      <c r="H17" s="35"/>
      <c r="I17" s="36"/>
    </row>
    <row r="18" spans="2:9" x14ac:dyDescent="0.35">
      <c r="B18" s="34"/>
      <c r="C18" s="35"/>
      <c r="D18" s="35"/>
      <c r="E18" s="35"/>
      <c r="F18" s="35"/>
      <c r="G18" s="35"/>
      <c r="H18" s="35"/>
      <c r="I18" s="36"/>
    </row>
    <row r="19" spans="2:9" x14ac:dyDescent="0.35">
      <c r="B19" s="34"/>
      <c r="C19" s="35"/>
      <c r="D19" s="35"/>
      <c r="E19" s="35"/>
      <c r="F19" s="35"/>
      <c r="G19" s="35"/>
      <c r="H19" s="35"/>
      <c r="I19" s="36"/>
    </row>
    <row r="20" spans="2:9" x14ac:dyDescent="0.35">
      <c r="B20" s="34"/>
      <c r="C20" s="35"/>
      <c r="D20" s="35"/>
      <c r="E20" s="35"/>
      <c r="F20" s="35"/>
      <c r="G20" s="35"/>
      <c r="H20" s="35"/>
      <c r="I20" s="36"/>
    </row>
    <row r="21" spans="2:9" x14ac:dyDescent="0.35">
      <c r="B21" s="34"/>
      <c r="C21" s="35"/>
      <c r="D21" s="35"/>
      <c r="E21" s="35"/>
      <c r="F21" s="35"/>
      <c r="G21" s="35"/>
      <c r="H21" s="35"/>
      <c r="I21" s="36"/>
    </row>
    <row r="22" spans="2:9" x14ac:dyDescent="0.35">
      <c r="B22" s="34"/>
      <c r="C22" s="35"/>
      <c r="D22" s="35"/>
      <c r="E22" s="35"/>
      <c r="F22" s="35"/>
      <c r="G22" s="35"/>
      <c r="H22" s="35"/>
      <c r="I22" s="36"/>
    </row>
    <row r="23" spans="2:9" ht="68.5" customHeight="1" thickBot="1" x14ac:dyDescent="0.4">
      <c r="B23" s="37"/>
      <c r="C23" s="38"/>
      <c r="D23" s="38"/>
      <c r="E23" s="38"/>
      <c r="F23" s="38"/>
      <c r="G23" s="38"/>
      <c r="H23" s="38"/>
      <c r="I23" s="39"/>
    </row>
  </sheetData>
  <mergeCells count="1">
    <mergeCell ref="B14:I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2506-0B9F-4B14-ADA0-702CD03037C2}">
  <dimension ref="A1:K23"/>
  <sheetViews>
    <sheetView showGridLines="0" workbookViewId="0">
      <selection activeCell="C5" sqref="C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8" width="5.90625" bestFit="1" customWidth="1"/>
    <col min="9" max="9" width="6.08984375" bestFit="1" customWidth="1"/>
    <col min="10" max="10" width="6.08984375" customWidth="1"/>
    <col min="11" max="11" width="6.90625" bestFit="1" customWidth="1"/>
    <col min="13" max="13" width="16.26953125" customWidth="1"/>
    <col min="14" max="14" width="46.08984375" customWidth="1"/>
  </cols>
  <sheetData>
    <row r="1" spans="1:11" x14ac:dyDescent="0.35">
      <c r="A1" s="27">
        <v>7</v>
      </c>
    </row>
    <row r="2" spans="1:11" x14ac:dyDescent="0.35">
      <c r="B2" s="2" t="s">
        <v>0</v>
      </c>
      <c r="C2" s="2" t="s">
        <v>11</v>
      </c>
      <c r="D2" s="2" t="s">
        <v>13</v>
      </c>
      <c r="E2" s="2" t="s">
        <v>61</v>
      </c>
      <c r="F2" s="2" t="s">
        <v>22</v>
      </c>
      <c r="G2" s="2" t="s">
        <v>15</v>
      </c>
      <c r="H2" s="2" t="s">
        <v>23</v>
      </c>
      <c r="I2" s="2" t="s">
        <v>21</v>
      </c>
      <c r="J2" s="2" t="s">
        <v>20</v>
      </c>
      <c r="K2" s="2" t="s">
        <v>60</v>
      </c>
    </row>
    <row r="3" spans="1:11" x14ac:dyDescent="0.35">
      <c r="B3" s="1" t="s">
        <v>1</v>
      </c>
      <c r="C3" s="3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0</v>
      </c>
      <c r="J3" s="3">
        <v>0</v>
      </c>
      <c r="K3" s="3">
        <v>0</v>
      </c>
    </row>
    <row r="4" spans="1:11" x14ac:dyDescent="0.35">
      <c r="B4" s="5" t="s">
        <v>29</v>
      </c>
      <c r="C4" s="6">
        <f>VLOOKUP($A$1,[1]resultados_proyectados_proporci!$A$1:$AA$29,MATCH(C$2,[1]resultados_proyectados_proporci!$A$1:$AA$1,0),FALSE)</f>
        <v>4.3984466997937802E-2</v>
      </c>
      <c r="D4" s="6">
        <f>VLOOKUP($A$1,[1]resultados_proyectados_proporci!$A$1:$AA$29,MATCH(D$2,[1]resultados_proyectados_proporci!$A$1:$AA$1,0),FALSE)</f>
        <v>2.46896626522768E-2</v>
      </c>
      <c r="E4" s="6">
        <f>VLOOKUP($A$1,[1]resultados_proyectados_proporci!$A$1:$AA$29,MATCH(E$2,[1]resultados_proyectados_proporci!$A$1:$AA$1,0),FALSE)</f>
        <v>2.8624667847333099E-2</v>
      </c>
      <c r="F4" s="6">
        <f>VLOOKUP($A$1,[1]resultados_proyectados_proporci!$A$1:$AA$29,MATCH(F$2,[1]resultados_proyectados_proporci!$A$1:$AA$1,0),FALSE)</f>
        <v>4.5000590745644699E-2</v>
      </c>
      <c r="G4" s="6">
        <f>VLOOKUP($A$1,[1]resultados_proyectados_proporci!$A$1:$AA$29,MATCH(G$2,[1]resultados_proyectados_proporci!$A$1:$AA$1,0),FALSE)</f>
        <v>0.140323225500087</v>
      </c>
      <c r="H4" s="6">
        <f>VLOOKUP($A$1,[1]resultados_proyectados_proporci!$A$1:$AA$29,MATCH(H$2,[1]resultados_proyectados_proporci!$A$1:$AA$1,0),FALSE)</f>
        <v>0.121224717787506</v>
      </c>
      <c r="I4" s="6">
        <f>VLOOKUP($A$1,[1]resultados_proyectados_proporci!$A$1:$AA$29,MATCH(I$2,[1]resultados_proyectados_proporci!$A$1:$AA$1,0),FALSE)</f>
        <v>7.4653960171165698E-2</v>
      </c>
      <c r="J4" s="6">
        <f>VLOOKUP($A$1,[1]resultados_proyectados_proporci!$A$1:$AA$29,MATCH(J$2,[1]resultados_proyectados_proporci!$A$1:$AA$1,0),FALSE)</f>
        <v>6.1016292826739503E-2</v>
      </c>
      <c r="K4" s="6">
        <f>VLOOKUP($A$1,[1]resultados_proyectados_proporci!$A$1:$AA$29,MATCH(K$2,[1]resultados_proyectados_proporci!$A$1:$AA$1,0),FALSE)</f>
        <v>9.6292983446956498E-2</v>
      </c>
    </row>
    <row r="5" spans="1:11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0</v>
      </c>
      <c r="G5" s="4">
        <f>VLOOKUP($A$1,[2]resultados_integracion_partido_!$A$1:$AA$29,MATCH(G$2,[2]resultados_integracion_partido_!$A$1:$AA$1,0),FALSE)</f>
        <v>2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1</v>
      </c>
      <c r="J5" s="4">
        <f>VLOOKUP($A$1,[2]resultados_integracion_partido_!$A$1:$AA$29,MATCH(J$2,[2]resultados_integracion_partido_!$A$1:$AA$1,0),FALSE)</f>
        <v>0</v>
      </c>
      <c r="K5" s="4">
        <f>VLOOKUP($A$1,[2]resultados_integracion_partido_!$A$1:$AA$29,MATCH(K$2,[2]resultados_integracion_partido_!$A$1:$AA$1,0),FALSE)</f>
        <v>1</v>
      </c>
    </row>
    <row r="6" spans="1:11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1</v>
      </c>
      <c r="J6" s="4">
        <f>VLOOKUP($A$1,[3]resultados_integracion_partido_!$A$1:$AA$29,MATCH(J$2,[3]resultados_integracion_partido_!$A$1:$AA$1,0),FALSE)</f>
        <v>1</v>
      </c>
      <c r="K6" s="4">
        <f>VLOOKUP($A$1,[3]resultados_integracion_partido_!$A$1:$AA$29,MATCH(K$2,[3]resultados_integracion_partido_!$A$1:$AA$1,0),FALSE)</f>
        <v>1</v>
      </c>
    </row>
    <row r="7" spans="1:11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1</v>
      </c>
      <c r="J7" s="4">
        <f>VLOOKUP($A$1,[4]resultados_integracion_partido_!$A$1:$AA$29,MATCH(J$2,[4]resultados_integracion_partido_!$A$1:$AA$1,0),FALSE)</f>
        <v>1</v>
      </c>
      <c r="K7" s="4">
        <f>VLOOKUP($A$1,[4]resultados_integracion_partido_!$A$1:$AA$29,MATCH(K$2,[4]resultados_integracion_partido_!$A$1:$AA$1,0),FALSE)</f>
        <v>1</v>
      </c>
    </row>
    <row r="8" spans="1:11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  <c r="J8" s="4">
        <f>VLOOKUP($A$1,[5]resultados_integracion_partido_!$A$1:$AA$29,MATCH(J$2,[5]resultados_integracion_partido_!$A$1:$AA$1,0),FALSE)</f>
        <v>1</v>
      </c>
      <c r="K8" s="4">
        <f>VLOOKUP($A$1,[5]resultados_integracion_partido_!$A$1:$AA$29,MATCH(K$2,[5]resultados_integracion_partido_!$A$1:$AA$1,0),FALSE)</f>
        <v>1</v>
      </c>
    </row>
    <row r="9" spans="1:11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1</v>
      </c>
      <c r="J9" s="4">
        <f>VLOOKUP($A$1,[6]resultados_integracion_partido_!$A$1:$AA$29,MATCH(J$2,[6]resultados_integracion_partido_!$A$1:$AA$1,0),FALSE)</f>
        <v>1</v>
      </c>
      <c r="K9" s="4">
        <f>VLOOKUP($A$1,[6]resultados_integracion_partido_!$A$1:$AA$29,MATCH(K$2,[6]resultados_integracion_partido_!$A$1:$AA$1,0),FALSE)</f>
        <v>1</v>
      </c>
    </row>
    <row r="10" spans="1:11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  <c r="J10" s="4">
        <f>VLOOKUP($A$1,[7]resultados_integracion_partido_!$A$1:$AA$29,MATCH(J$2,[7]resultados_integracion_partido_!$A$1:$AA$1,0),FALSE)</f>
        <v>1</v>
      </c>
      <c r="K10" s="4">
        <f>VLOOKUP($A$1,[7]resultados_integracion_partido_!$A$1:$AA$29,MATCH(K$2,[7]resultados_integracion_partido_!$A$1:$AA$1,0),FALSE)</f>
        <v>1</v>
      </c>
    </row>
    <row r="11" spans="1:11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  <c r="J11" s="4">
        <f>VLOOKUP($A$1,[8]resultados_integracion_partido_!$A$1:$AA$29,MATCH(J$2,[8]resultados_integracion_partido_!$A$1:$AA$1,0),FALSE)</f>
        <v>0</v>
      </c>
      <c r="K11" s="4">
        <f>VLOOKUP($A$1,[8]resultados_integracion_partido_!$A$1:$AA$29,MATCH(K$2,[8]resultados_integracion_partido_!$A$1:$AA$1,0),FALSE)</f>
        <v>1</v>
      </c>
    </row>
    <row r="12" spans="1:11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  <c r="J12" s="4">
        <f>VLOOKUP($A$1,[9]resultados_integracion_partido_!$A$1:$AA$29,MATCH(J$2,[9]resultados_integracion_partido_!$A$1:$AA$1,0),FALSE)</f>
        <v>0</v>
      </c>
      <c r="K12" s="4">
        <f>VLOOKUP($A$1,[9]resultados_integracion_partido_!$A$1:$AA$29,MATCH(K$2,[9]resultados_integracion_partido_!$A$1:$AA$1,0),FALSE)</f>
        <v>1</v>
      </c>
    </row>
    <row r="13" spans="1:11" ht="15" thickBot="1" x14ac:dyDescent="0.4"/>
    <row r="14" spans="1:11" ht="14.5" customHeight="1" x14ac:dyDescent="0.35">
      <c r="B14" s="31" t="s">
        <v>64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x14ac:dyDescent="0.35">
      <c r="B15" s="34"/>
      <c r="C15" s="35"/>
      <c r="D15" s="35"/>
      <c r="E15" s="35"/>
      <c r="F15" s="35"/>
      <c r="G15" s="35"/>
      <c r="H15" s="35"/>
      <c r="I15" s="35"/>
      <c r="J15" s="35"/>
      <c r="K15" s="36"/>
    </row>
    <row r="16" spans="1:11" x14ac:dyDescent="0.35">
      <c r="B16" s="34"/>
      <c r="C16" s="35"/>
      <c r="D16" s="35"/>
      <c r="E16" s="35"/>
      <c r="F16" s="35"/>
      <c r="G16" s="35"/>
      <c r="H16" s="35"/>
      <c r="I16" s="35"/>
      <c r="J16" s="35"/>
      <c r="K16" s="36"/>
    </row>
    <row r="17" spans="2:11" x14ac:dyDescent="0.35">
      <c r="B17" s="34"/>
      <c r="C17" s="35"/>
      <c r="D17" s="35"/>
      <c r="E17" s="35"/>
      <c r="F17" s="35"/>
      <c r="G17" s="35"/>
      <c r="H17" s="35"/>
      <c r="I17" s="35"/>
      <c r="J17" s="35"/>
      <c r="K17" s="36"/>
    </row>
    <row r="18" spans="2:11" x14ac:dyDescent="0.35">
      <c r="B18" s="34"/>
      <c r="C18" s="35"/>
      <c r="D18" s="35"/>
      <c r="E18" s="35"/>
      <c r="F18" s="35"/>
      <c r="G18" s="35"/>
      <c r="H18" s="35"/>
      <c r="I18" s="35"/>
      <c r="J18" s="35"/>
      <c r="K18" s="36"/>
    </row>
    <row r="19" spans="2:11" x14ac:dyDescent="0.35">
      <c r="B19" s="34"/>
      <c r="C19" s="35"/>
      <c r="D19" s="35"/>
      <c r="E19" s="35"/>
      <c r="F19" s="35"/>
      <c r="G19" s="35"/>
      <c r="H19" s="35"/>
      <c r="I19" s="35"/>
      <c r="J19" s="35"/>
      <c r="K19" s="36"/>
    </row>
    <row r="20" spans="2:11" x14ac:dyDescent="0.35">
      <c r="B20" s="34"/>
      <c r="C20" s="35"/>
      <c r="D20" s="35"/>
      <c r="E20" s="35"/>
      <c r="F20" s="35"/>
      <c r="G20" s="35"/>
      <c r="H20" s="35"/>
      <c r="I20" s="35"/>
      <c r="J20" s="35"/>
      <c r="K20" s="36"/>
    </row>
    <row r="21" spans="2:11" x14ac:dyDescent="0.35">
      <c r="B21" s="34"/>
      <c r="C21" s="35"/>
      <c r="D21" s="35"/>
      <c r="E21" s="35"/>
      <c r="F21" s="35"/>
      <c r="G21" s="35"/>
      <c r="H21" s="35"/>
      <c r="I21" s="35"/>
      <c r="J21" s="35"/>
      <c r="K21" s="36"/>
    </row>
    <row r="22" spans="2:11" x14ac:dyDescent="0.35">
      <c r="B22" s="34"/>
      <c r="C22" s="35"/>
      <c r="D22" s="35"/>
      <c r="E22" s="35"/>
      <c r="F22" s="35"/>
      <c r="G22" s="35"/>
      <c r="H22" s="35"/>
      <c r="I22" s="35"/>
      <c r="J22" s="35"/>
      <c r="K22" s="36"/>
    </row>
    <row r="23" spans="2:11" ht="17.5" customHeight="1" thickBot="1" x14ac:dyDescent="0.4">
      <c r="B23" s="37"/>
      <c r="C23" s="38"/>
      <c r="D23" s="38"/>
      <c r="E23" s="38"/>
      <c r="F23" s="38"/>
      <c r="G23" s="38"/>
      <c r="H23" s="38"/>
      <c r="I23" s="38"/>
      <c r="J23" s="38"/>
      <c r="K23" s="39"/>
    </row>
  </sheetData>
  <mergeCells count="1">
    <mergeCell ref="B14:K2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9B40-470A-4DE1-8AB1-26EEC2BE06FE}">
  <dimension ref="A1:I23"/>
  <sheetViews>
    <sheetView showGridLines="0" topLeftCell="A7" workbookViewId="0">
      <selection activeCell="C5" sqref="C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7" width="5.90625" bestFit="1" customWidth="1"/>
    <col min="8" max="8" width="6.90625" bestFit="1" customWidth="1"/>
    <col min="9" max="9" width="5.90625" bestFit="1" customWidth="1"/>
    <col min="11" max="11" width="16.26953125" customWidth="1"/>
    <col min="12" max="12" width="47.6328125" customWidth="1"/>
  </cols>
  <sheetData>
    <row r="1" spans="1:9" x14ac:dyDescent="0.35">
      <c r="A1" s="27">
        <v>9</v>
      </c>
    </row>
    <row r="2" spans="1:9" x14ac:dyDescent="0.35">
      <c r="B2" s="2" t="s">
        <v>0</v>
      </c>
      <c r="C2" s="2" t="s">
        <v>11</v>
      </c>
      <c r="D2" s="2" t="s">
        <v>14</v>
      </c>
      <c r="E2" s="2" t="s">
        <v>62</v>
      </c>
      <c r="F2" s="2" t="s">
        <v>15</v>
      </c>
      <c r="G2" s="2" t="s">
        <v>23</v>
      </c>
      <c r="H2" s="2" t="s">
        <v>60</v>
      </c>
      <c r="I2" s="2" t="s">
        <v>20</v>
      </c>
    </row>
    <row r="3" spans="1:9" x14ac:dyDescent="0.35">
      <c r="B3" s="1" t="s">
        <v>1</v>
      </c>
      <c r="C3" s="3">
        <v>0</v>
      </c>
      <c r="D3" s="3">
        <v>1</v>
      </c>
      <c r="E3" s="3">
        <v>1</v>
      </c>
      <c r="F3" s="3">
        <v>1</v>
      </c>
      <c r="G3" s="3">
        <v>0</v>
      </c>
      <c r="H3" s="3">
        <v>1</v>
      </c>
      <c r="I3" s="3">
        <v>1</v>
      </c>
    </row>
    <row r="4" spans="1:9" x14ac:dyDescent="0.35">
      <c r="B4" s="5" t="s">
        <v>28</v>
      </c>
      <c r="C4" s="6">
        <f>VLOOKUP($A$1,[1]resultados_proyectados_proporci!$A$1:$AA$29,MATCH(C$2,[1]resultados_proyectados_proporci!$A$1:$AA$1,0),FALSE)</f>
        <v>5.3475611494803302E-2</v>
      </c>
      <c r="D4" s="6">
        <f>VLOOKUP($A$1,[1]resultados_proyectados_proporci!$A$1:$AA$29,MATCH(D$2,[1]resultados_proyectados_proporci!$A$1:$AA$1,0),FALSE)</f>
        <v>5.8182133366766503E-2</v>
      </c>
      <c r="E4" s="6">
        <f>VLOOKUP($A$1,[1]resultados_proyectados_proporci!$A$1:$AA$29,MATCH(E$2,[1]resultados_proyectados_proporci!$A$1:$AA$1,0),FALSE)</f>
        <v>3.2077536649405401E-2</v>
      </c>
      <c r="F4" s="6">
        <f>VLOOKUP($A$1,[1]resultados_proyectados_proporci!$A$1:$AA$29,MATCH(F$2,[1]resultados_proyectados_proporci!$A$1:$AA$1,0),FALSE)</f>
        <v>0.13134470695638201</v>
      </c>
      <c r="G4" s="6">
        <f>VLOOKUP($A$1,[1]resultados_proyectados_proporci!$A$1:$AA$29,MATCH(G$2,[1]resultados_proyectados_proporci!$A$1:$AA$1,0),FALSE)</f>
        <v>8.6972550230132298E-2</v>
      </c>
      <c r="H4" s="6">
        <f>VLOOKUP($A$1,[1]resultados_proyectados_proporci!$A$1:$AA$29,MATCH(H$2,[1]resultados_proyectados_proporci!$A$1:$AA$1,0),FALSE)</f>
        <v>0.10683580604703299</v>
      </c>
      <c r="I4" s="6">
        <f>VLOOKUP($A$1,[1]resultados_proyectados_proporci!$A$1:$AA$29,MATCH(I$2,[1]resultados_proyectados_proporci!$A$1:$AA$1,0),FALSE)</f>
        <v>4.8912795031730599E-2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1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2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1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1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1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1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1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1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1</v>
      </c>
      <c r="D9" s="4">
        <f>VLOOKUP($A$1,[6]resultados_integracion_partido_!$A$1:$AA$29,MATCH(D$2,[6]resultados_integracion_partido_!$A$1:$AA$1,0),FALSE)</f>
        <v>1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1</v>
      </c>
      <c r="D10" s="4">
        <f>VLOOKUP($A$1,[7]resultados_integracion_partido_!$A$1:$AA$29,MATCH(D$2,[7]resultados_integracion_partido_!$A$1:$AA$1,0),FALSE)</f>
        <v>1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1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0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1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1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ht="15" thickBot="1" x14ac:dyDescent="0.4"/>
    <row r="14" spans="1:9" ht="14.5" customHeight="1" x14ac:dyDescent="0.35">
      <c r="B14" s="31" t="s">
        <v>64</v>
      </c>
      <c r="C14" s="32"/>
      <c r="D14" s="32"/>
      <c r="E14" s="32"/>
      <c r="F14" s="32"/>
      <c r="G14" s="32"/>
      <c r="H14" s="32"/>
      <c r="I14" s="33"/>
    </row>
    <row r="15" spans="1:9" x14ac:dyDescent="0.35">
      <c r="B15" s="34"/>
      <c r="C15" s="35"/>
      <c r="D15" s="35"/>
      <c r="E15" s="35"/>
      <c r="F15" s="35"/>
      <c r="G15" s="35"/>
      <c r="H15" s="35"/>
      <c r="I15" s="36"/>
    </row>
    <row r="16" spans="1:9" x14ac:dyDescent="0.35">
      <c r="B16" s="34"/>
      <c r="C16" s="35"/>
      <c r="D16" s="35"/>
      <c r="E16" s="35"/>
      <c r="F16" s="35"/>
      <c r="G16" s="35"/>
      <c r="H16" s="35"/>
      <c r="I16" s="36"/>
    </row>
    <row r="17" spans="2:9" x14ac:dyDescent="0.35">
      <c r="B17" s="34"/>
      <c r="C17" s="35"/>
      <c r="D17" s="35"/>
      <c r="E17" s="35"/>
      <c r="F17" s="35"/>
      <c r="G17" s="35"/>
      <c r="H17" s="35"/>
      <c r="I17" s="36"/>
    </row>
    <row r="18" spans="2:9" x14ac:dyDescent="0.35">
      <c r="B18" s="34"/>
      <c r="C18" s="35"/>
      <c r="D18" s="35"/>
      <c r="E18" s="35"/>
      <c r="F18" s="35"/>
      <c r="G18" s="35"/>
      <c r="H18" s="35"/>
      <c r="I18" s="36"/>
    </row>
    <row r="19" spans="2:9" x14ac:dyDescent="0.35">
      <c r="B19" s="34"/>
      <c r="C19" s="35"/>
      <c r="D19" s="35"/>
      <c r="E19" s="35"/>
      <c r="F19" s="35"/>
      <c r="G19" s="35"/>
      <c r="H19" s="35"/>
      <c r="I19" s="36"/>
    </row>
    <row r="20" spans="2:9" x14ac:dyDescent="0.35">
      <c r="B20" s="34"/>
      <c r="C20" s="35"/>
      <c r="D20" s="35"/>
      <c r="E20" s="35"/>
      <c r="F20" s="35"/>
      <c r="G20" s="35"/>
      <c r="H20" s="35"/>
      <c r="I20" s="36"/>
    </row>
    <row r="21" spans="2:9" x14ac:dyDescent="0.35">
      <c r="B21" s="34"/>
      <c r="C21" s="35"/>
      <c r="D21" s="35"/>
      <c r="E21" s="35"/>
      <c r="F21" s="35"/>
      <c r="G21" s="35"/>
      <c r="H21" s="35"/>
      <c r="I21" s="36"/>
    </row>
    <row r="22" spans="2:9" x14ac:dyDescent="0.35">
      <c r="B22" s="34"/>
      <c r="C22" s="35"/>
      <c r="D22" s="35"/>
      <c r="E22" s="35"/>
      <c r="F22" s="35"/>
      <c r="G22" s="35"/>
      <c r="H22" s="35"/>
      <c r="I22" s="36"/>
    </row>
    <row r="23" spans="2:9" ht="67.5" customHeight="1" thickBot="1" x14ac:dyDescent="0.4">
      <c r="B23" s="37"/>
      <c r="C23" s="38"/>
      <c r="D23" s="38"/>
      <c r="E23" s="38"/>
      <c r="F23" s="38"/>
      <c r="G23" s="38"/>
      <c r="H23" s="38"/>
      <c r="I23" s="39"/>
    </row>
  </sheetData>
  <mergeCells count="1">
    <mergeCell ref="B14:I2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0C85-64F4-4D82-8FA2-89FE65C5C7BA}">
  <dimension ref="A1:H23"/>
  <sheetViews>
    <sheetView showGridLines="0" zoomScaleNormal="100" workbookViewId="0">
      <selection activeCell="C5" sqref="C5"/>
    </sheetView>
  </sheetViews>
  <sheetFormatPr baseColWidth="10" defaultRowHeight="14.5" x14ac:dyDescent="0.35"/>
  <cols>
    <col min="1" max="1" width="2.81640625" bestFit="1" customWidth="1"/>
    <col min="2" max="2" width="19.36328125" bestFit="1" customWidth="1"/>
    <col min="3" max="3" width="6.90625" bestFit="1" customWidth="1"/>
    <col min="4" max="5" width="5.90625" bestFit="1" customWidth="1"/>
    <col min="6" max="7" width="6.90625" bestFit="1" customWidth="1"/>
    <col min="8" max="8" width="6.08984375" customWidth="1"/>
    <col min="10" max="10" width="16.26953125" customWidth="1"/>
    <col min="11" max="11" width="45.81640625" customWidth="1"/>
  </cols>
  <sheetData>
    <row r="1" spans="1:8" x14ac:dyDescent="0.35">
      <c r="A1" s="27">
        <v>11</v>
      </c>
    </row>
    <row r="2" spans="1:8" x14ac:dyDescent="0.35">
      <c r="B2" s="2" t="s">
        <v>0</v>
      </c>
      <c r="C2" s="2" t="s">
        <v>11</v>
      </c>
      <c r="D2" s="2" t="s">
        <v>14</v>
      </c>
      <c r="E2" s="2" t="s">
        <v>22</v>
      </c>
      <c r="F2" s="2" t="s">
        <v>15</v>
      </c>
      <c r="G2" s="2" t="s">
        <v>23</v>
      </c>
      <c r="H2" s="2" t="s">
        <v>20</v>
      </c>
    </row>
    <row r="3" spans="1:8" x14ac:dyDescent="0.35">
      <c r="B3" s="1" t="s">
        <v>1</v>
      </c>
      <c r="C3" s="3">
        <v>0</v>
      </c>
      <c r="D3" s="3">
        <v>1</v>
      </c>
      <c r="E3" s="3">
        <v>0</v>
      </c>
      <c r="F3" s="3">
        <v>0</v>
      </c>
      <c r="G3" s="3">
        <v>1</v>
      </c>
      <c r="H3" s="3">
        <v>0</v>
      </c>
    </row>
    <row r="4" spans="1:8" x14ac:dyDescent="0.35">
      <c r="B4" s="5" t="s">
        <v>29</v>
      </c>
      <c r="C4" s="6">
        <f>VLOOKUP($A$1,[1]resultados_proyectados_proporci!$A$1:$AA$29,MATCH(C$2,[1]resultados_proyectados_proporci!$A$1:$AA$1,0),FALSE)</f>
        <v>0</v>
      </c>
      <c r="D4" s="6">
        <f>VLOOKUP($A$1,[1]resultados_proyectados_proporci!$A$1:$AA$29,MATCH(D$2,[1]resultados_proyectados_proporci!$A$1:$AA$1,0),FALSE)</f>
        <v>5.6615076912916902E-2</v>
      </c>
      <c r="E4" s="6">
        <f>VLOOKUP($A$1,[1]resultados_proyectados_proporci!$A$1:$AA$29,MATCH(E$2,[1]resultados_proyectados_proporci!$A$1:$AA$1,0),FALSE)</f>
        <v>8.2483855599005604E-2</v>
      </c>
      <c r="F4" s="6">
        <f>VLOOKUP($A$1,[1]resultados_proyectados_proporci!$A$1:$AA$29,MATCH(F$2,[1]resultados_proyectados_proporci!$A$1:$AA$1,0),FALSE)</f>
        <v>0.15242956135343999</v>
      </c>
      <c r="G4" s="6">
        <f>VLOOKUP($A$1,[1]resultados_proyectados_proporci!$A$1:$AA$29,MATCH(G$2,[1]resultados_proyectados_proporci!$A$1:$AA$1,0),FALSE)</f>
        <v>0.153957913704697</v>
      </c>
      <c r="H4" s="6">
        <f>VLOOKUP($A$1,[1]resultados_proyectados_proporci!$A$1:$AA$29,MATCH(H$2,[1]resultados_proyectados_proporci!$A$1:$AA$1,0),FALSE)</f>
        <v>9.1977093583278602E-2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0</v>
      </c>
    </row>
    <row r="13" spans="1:8" ht="15" thickBot="1" x14ac:dyDescent="0.4"/>
    <row r="14" spans="1:8" ht="14.5" customHeight="1" x14ac:dyDescent="0.35">
      <c r="B14" s="31" t="s">
        <v>64</v>
      </c>
      <c r="C14" s="32"/>
      <c r="D14" s="32"/>
      <c r="E14" s="32"/>
      <c r="F14" s="32"/>
      <c r="G14" s="32"/>
      <c r="H14" s="33"/>
    </row>
    <row r="15" spans="1:8" x14ac:dyDescent="0.35">
      <c r="B15" s="34"/>
      <c r="C15" s="35"/>
      <c r="D15" s="35"/>
      <c r="E15" s="35"/>
      <c r="F15" s="35"/>
      <c r="G15" s="35"/>
      <c r="H15" s="36"/>
    </row>
    <row r="16" spans="1:8" x14ac:dyDescent="0.35">
      <c r="B16" s="34"/>
      <c r="C16" s="35"/>
      <c r="D16" s="35"/>
      <c r="E16" s="35"/>
      <c r="F16" s="35"/>
      <c r="G16" s="35"/>
      <c r="H16" s="36"/>
    </row>
    <row r="17" spans="2:8" x14ac:dyDescent="0.35">
      <c r="B17" s="34"/>
      <c r="C17" s="35"/>
      <c r="D17" s="35"/>
      <c r="E17" s="35"/>
      <c r="F17" s="35"/>
      <c r="G17" s="35"/>
      <c r="H17" s="36"/>
    </row>
    <row r="18" spans="2:8" x14ac:dyDescent="0.35">
      <c r="B18" s="34"/>
      <c r="C18" s="35"/>
      <c r="D18" s="35"/>
      <c r="E18" s="35"/>
      <c r="F18" s="35"/>
      <c r="G18" s="35"/>
      <c r="H18" s="36"/>
    </row>
    <row r="19" spans="2:8" x14ac:dyDescent="0.35">
      <c r="B19" s="34"/>
      <c r="C19" s="35"/>
      <c r="D19" s="35"/>
      <c r="E19" s="35"/>
      <c r="F19" s="35"/>
      <c r="G19" s="35"/>
      <c r="H19" s="36"/>
    </row>
    <row r="20" spans="2:8" ht="74" customHeight="1" x14ac:dyDescent="0.35">
      <c r="B20" s="34"/>
      <c r="C20" s="35"/>
      <c r="D20" s="35"/>
      <c r="E20" s="35"/>
      <c r="F20" s="35"/>
      <c r="G20" s="35"/>
      <c r="H20" s="36"/>
    </row>
    <row r="21" spans="2:8" x14ac:dyDescent="0.35">
      <c r="B21" s="34"/>
      <c r="C21" s="35"/>
      <c r="D21" s="35"/>
      <c r="E21" s="35"/>
      <c r="F21" s="35"/>
      <c r="G21" s="35"/>
      <c r="H21" s="36"/>
    </row>
    <row r="22" spans="2:8" x14ac:dyDescent="0.35">
      <c r="B22" s="34"/>
      <c r="C22" s="35"/>
      <c r="D22" s="35"/>
      <c r="E22" s="35"/>
      <c r="F22" s="35"/>
      <c r="G22" s="35"/>
      <c r="H22" s="36"/>
    </row>
    <row r="23" spans="2:8" ht="10.5" customHeight="1" thickBot="1" x14ac:dyDescent="0.4">
      <c r="B23" s="37"/>
      <c r="C23" s="38"/>
      <c r="D23" s="38"/>
      <c r="E23" s="38"/>
      <c r="F23" s="38"/>
      <c r="G23" s="38"/>
      <c r="H23" s="39"/>
    </row>
  </sheetData>
  <mergeCells count="1">
    <mergeCell ref="B14:H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de Pactos</vt:lpstr>
      <vt:lpstr>C15</vt:lpstr>
      <vt:lpstr>C1</vt:lpstr>
      <vt:lpstr>C3</vt:lpstr>
      <vt:lpstr>C5</vt:lpstr>
      <vt:lpstr>C7</vt:lpstr>
      <vt:lpstr>C9</vt:lpstr>
      <vt:lpstr>C11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Zimmermann Rodríguez-Peña</dc:creator>
  <cp:lastModifiedBy>Iván Zimmermann Rodríguez-Peña</cp:lastModifiedBy>
  <cp:lastPrinted>2025-01-12T22:53:24Z</cp:lastPrinted>
  <dcterms:created xsi:type="dcterms:W3CDTF">2024-12-22T23:53:50Z</dcterms:created>
  <dcterms:modified xsi:type="dcterms:W3CDTF">2025-01-28T03:06:21Z</dcterms:modified>
</cp:coreProperties>
</file>