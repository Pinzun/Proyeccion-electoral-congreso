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\Desktop\Ivan\Laboral\EstrategiaSur\GitProjects\Proyeccion-electoral-congreso\Resultados\Entregable\"/>
    </mc:Choice>
  </mc:AlternateContent>
  <xr:revisionPtr revIDLastSave="0" documentId="13_ncr:1_{5E1050C7-F280-4205-A73C-14F02935F659}" xr6:coauthVersionLast="47" xr6:coauthVersionMax="47" xr10:uidLastSave="{00000000-0000-0000-0000-000000000000}"/>
  <bookViews>
    <workbookView xWindow="-28920" yWindow="1665" windowWidth="29040" windowHeight="15720" xr2:uid="{85AAF8D7-1A96-46DE-A921-B4694576F524}"/>
  </bookViews>
  <sheets>
    <sheet name="Resumen de Pactos" sheetId="33" r:id="rId1"/>
    <sheet name="C15" sheetId="1" r:id="rId2"/>
    <sheet name="C1" sheetId="16" r:id="rId3"/>
    <sheet name="C3" sheetId="17" r:id="rId4"/>
    <sheet name="C5" sheetId="18" r:id="rId5"/>
    <sheet name="C7" sheetId="20" r:id="rId6"/>
    <sheet name="C9" sheetId="19" r:id="rId7"/>
    <sheet name="C11" sheetId="2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1" l="1"/>
  <c r="D5" i="21"/>
  <c r="D6" i="21"/>
  <c r="D7" i="21"/>
  <c r="D8" i="21"/>
  <c r="D9" i="21"/>
  <c r="D10" i="21"/>
  <c r="D11" i="21"/>
  <c r="D12" i="21"/>
  <c r="I11" i="1"/>
  <c r="H11" i="1"/>
  <c r="G11" i="1"/>
  <c r="F11" i="1"/>
  <c r="E11" i="1"/>
  <c r="D11" i="1"/>
  <c r="C11" i="1"/>
  <c r="H11" i="16"/>
  <c r="G11" i="16"/>
  <c r="F11" i="16"/>
  <c r="E11" i="16"/>
  <c r="D11" i="16"/>
  <c r="C11" i="16"/>
  <c r="H11" i="17"/>
  <c r="G11" i="17"/>
  <c r="F11" i="17"/>
  <c r="E11" i="17"/>
  <c r="D11" i="17"/>
  <c r="C11" i="17"/>
  <c r="I11" i="18"/>
  <c r="H11" i="18"/>
  <c r="G11" i="18"/>
  <c r="F11" i="18"/>
  <c r="E11" i="18"/>
  <c r="D11" i="18"/>
  <c r="C11" i="18"/>
  <c r="K11" i="20"/>
  <c r="J11" i="20"/>
  <c r="I11" i="20"/>
  <c r="H11" i="20"/>
  <c r="G11" i="20"/>
  <c r="F11" i="20"/>
  <c r="E11" i="20"/>
  <c r="D11" i="20"/>
  <c r="C11" i="20"/>
  <c r="H11" i="21"/>
  <c r="G11" i="21"/>
  <c r="F11" i="21"/>
  <c r="E11" i="21"/>
  <c r="C11" i="21"/>
  <c r="I11" i="19"/>
  <c r="H11" i="19"/>
  <c r="G11" i="19"/>
  <c r="F11" i="19"/>
  <c r="E11" i="19"/>
  <c r="D11" i="19"/>
  <c r="C11" i="19"/>
  <c r="I12" i="19"/>
  <c r="H12" i="19"/>
  <c r="G12" i="19"/>
  <c r="F12" i="19"/>
  <c r="E12" i="19"/>
  <c r="D12" i="19"/>
  <c r="C12" i="19"/>
  <c r="I12" i="1"/>
  <c r="H12" i="1"/>
  <c r="G12" i="1"/>
  <c r="F12" i="1"/>
  <c r="E12" i="1"/>
  <c r="D12" i="1"/>
  <c r="C12" i="1"/>
  <c r="H12" i="16"/>
  <c r="G12" i="16"/>
  <c r="F12" i="16"/>
  <c r="E12" i="16"/>
  <c r="D12" i="16"/>
  <c r="C12" i="16"/>
  <c r="H12" i="17"/>
  <c r="G12" i="17"/>
  <c r="F12" i="17"/>
  <c r="E12" i="17"/>
  <c r="D12" i="17"/>
  <c r="C12" i="17"/>
  <c r="I12" i="18"/>
  <c r="H12" i="18"/>
  <c r="G12" i="18"/>
  <c r="F12" i="18"/>
  <c r="E12" i="18"/>
  <c r="D12" i="18"/>
  <c r="C12" i="18"/>
  <c r="K12" i="20"/>
  <c r="J12" i="20"/>
  <c r="I12" i="20"/>
  <c r="H12" i="20"/>
  <c r="G12" i="20"/>
  <c r="F12" i="20"/>
  <c r="E12" i="20"/>
  <c r="D12" i="20"/>
  <c r="C12" i="20"/>
  <c r="H12" i="21"/>
  <c r="G12" i="21"/>
  <c r="F12" i="21"/>
  <c r="E12" i="21"/>
  <c r="C12" i="21"/>
  <c r="H10" i="21"/>
  <c r="G10" i="21"/>
  <c r="F10" i="21"/>
  <c r="E10" i="21"/>
  <c r="C10" i="21"/>
  <c r="I10" i="19"/>
  <c r="H10" i="19"/>
  <c r="G10" i="19"/>
  <c r="F10" i="19"/>
  <c r="E10" i="19"/>
  <c r="D10" i="19"/>
  <c r="C10" i="19"/>
  <c r="I10" i="1"/>
  <c r="H10" i="1"/>
  <c r="G10" i="1"/>
  <c r="F10" i="1"/>
  <c r="E10" i="1"/>
  <c r="D10" i="1"/>
  <c r="C10" i="1"/>
  <c r="H10" i="16"/>
  <c r="G10" i="16"/>
  <c r="F10" i="16"/>
  <c r="E10" i="16"/>
  <c r="D10" i="16"/>
  <c r="C10" i="16"/>
  <c r="H10" i="17"/>
  <c r="G10" i="17"/>
  <c r="F10" i="17"/>
  <c r="E10" i="17"/>
  <c r="D10" i="17"/>
  <c r="C10" i="17"/>
  <c r="I10" i="18"/>
  <c r="H10" i="18"/>
  <c r="G10" i="18"/>
  <c r="F10" i="18"/>
  <c r="E10" i="18"/>
  <c r="D10" i="18"/>
  <c r="C10" i="18"/>
  <c r="K10" i="20"/>
  <c r="J10" i="20"/>
  <c r="I10" i="20"/>
  <c r="H10" i="20"/>
  <c r="G10" i="20"/>
  <c r="F10" i="20"/>
  <c r="E10" i="20"/>
  <c r="D10" i="20"/>
  <c r="C10" i="20"/>
  <c r="K9" i="20"/>
  <c r="J9" i="20"/>
  <c r="I9" i="20"/>
  <c r="H9" i="20"/>
  <c r="G9" i="20"/>
  <c r="F9" i="20"/>
  <c r="E9" i="20"/>
  <c r="D9" i="20"/>
  <c r="C9" i="20"/>
  <c r="H9" i="21"/>
  <c r="G9" i="21"/>
  <c r="F9" i="21"/>
  <c r="E9" i="21"/>
  <c r="C9" i="21"/>
  <c r="I9" i="19"/>
  <c r="H9" i="19"/>
  <c r="G9" i="19"/>
  <c r="F9" i="19"/>
  <c r="E9" i="19"/>
  <c r="D9" i="19"/>
  <c r="C9" i="19"/>
  <c r="I9" i="1"/>
  <c r="H9" i="1"/>
  <c r="G9" i="1"/>
  <c r="F9" i="1"/>
  <c r="E9" i="1"/>
  <c r="D9" i="1"/>
  <c r="C9" i="1"/>
  <c r="H9" i="16"/>
  <c r="G9" i="16"/>
  <c r="F9" i="16"/>
  <c r="E9" i="16"/>
  <c r="D9" i="16"/>
  <c r="C9" i="16"/>
  <c r="H9" i="17"/>
  <c r="G9" i="17"/>
  <c r="F9" i="17"/>
  <c r="E9" i="17"/>
  <c r="D9" i="17"/>
  <c r="C9" i="17"/>
  <c r="I9" i="18"/>
  <c r="H9" i="18"/>
  <c r="G9" i="18"/>
  <c r="F9" i="18"/>
  <c r="E9" i="18"/>
  <c r="D9" i="18"/>
  <c r="C9" i="18"/>
  <c r="I8" i="18"/>
  <c r="H8" i="18"/>
  <c r="G8" i="18"/>
  <c r="F8" i="18"/>
  <c r="E8" i="18"/>
  <c r="D8" i="18"/>
  <c r="C8" i="18"/>
  <c r="K8" i="20"/>
  <c r="J8" i="20"/>
  <c r="I8" i="20"/>
  <c r="H8" i="20"/>
  <c r="G8" i="20"/>
  <c r="F8" i="20"/>
  <c r="E8" i="20"/>
  <c r="D8" i="20"/>
  <c r="C8" i="20"/>
  <c r="H8" i="21"/>
  <c r="G8" i="21"/>
  <c r="F8" i="21"/>
  <c r="E8" i="21"/>
  <c r="C8" i="21"/>
  <c r="I8" i="19"/>
  <c r="H8" i="19"/>
  <c r="G8" i="19"/>
  <c r="F8" i="19"/>
  <c r="E8" i="19"/>
  <c r="D8" i="19"/>
  <c r="C8" i="19"/>
  <c r="I8" i="1"/>
  <c r="H8" i="1"/>
  <c r="G8" i="1"/>
  <c r="F8" i="1"/>
  <c r="E8" i="1"/>
  <c r="D8" i="1"/>
  <c r="C8" i="1"/>
  <c r="H8" i="16"/>
  <c r="G8" i="16"/>
  <c r="F8" i="16"/>
  <c r="E8" i="16"/>
  <c r="D8" i="16"/>
  <c r="C8" i="16"/>
  <c r="H8" i="17"/>
  <c r="G8" i="17"/>
  <c r="F8" i="17"/>
  <c r="E8" i="17"/>
  <c r="D8" i="17"/>
  <c r="C8" i="17"/>
  <c r="H7" i="17"/>
  <c r="G7" i="17"/>
  <c r="F7" i="17"/>
  <c r="E7" i="17"/>
  <c r="D7" i="17"/>
  <c r="C7" i="17"/>
  <c r="I7" i="18"/>
  <c r="H7" i="18"/>
  <c r="G7" i="18"/>
  <c r="F7" i="18"/>
  <c r="E7" i="18"/>
  <c r="D7" i="18"/>
  <c r="C7" i="18"/>
  <c r="K7" i="20"/>
  <c r="J7" i="20"/>
  <c r="I7" i="20"/>
  <c r="H7" i="20"/>
  <c r="G7" i="20"/>
  <c r="F7" i="20"/>
  <c r="E7" i="20"/>
  <c r="D7" i="20"/>
  <c r="C7" i="20"/>
  <c r="H7" i="21"/>
  <c r="G7" i="21"/>
  <c r="F7" i="21"/>
  <c r="E7" i="21"/>
  <c r="C7" i="21"/>
  <c r="I7" i="19"/>
  <c r="H7" i="19"/>
  <c r="G7" i="19"/>
  <c r="F7" i="19"/>
  <c r="E7" i="19"/>
  <c r="D7" i="19"/>
  <c r="C7" i="19"/>
  <c r="I7" i="1"/>
  <c r="H7" i="1"/>
  <c r="G7" i="1"/>
  <c r="F7" i="1"/>
  <c r="E7" i="1"/>
  <c r="D7" i="1"/>
  <c r="C7" i="1"/>
  <c r="H7" i="16"/>
  <c r="G7" i="16"/>
  <c r="F7" i="16"/>
  <c r="E7" i="16"/>
  <c r="D7" i="16"/>
  <c r="C7" i="16"/>
  <c r="H6" i="16"/>
  <c r="G6" i="16"/>
  <c r="F6" i="16"/>
  <c r="E6" i="16"/>
  <c r="D6" i="16"/>
  <c r="C6" i="16"/>
  <c r="H6" i="17"/>
  <c r="G6" i="17"/>
  <c r="F6" i="17"/>
  <c r="E6" i="17"/>
  <c r="D6" i="17"/>
  <c r="C6" i="17"/>
  <c r="I6" i="18"/>
  <c r="H6" i="18"/>
  <c r="G6" i="18"/>
  <c r="F6" i="18"/>
  <c r="E6" i="18"/>
  <c r="D6" i="18"/>
  <c r="C6" i="18"/>
  <c r="K6" i="20"/>
  <c r="J6" i="20"/>
  <c r="I6" i="20"/>
  <c r="H6" i="20"/>
  <c r="G6" i="20"/>
  <c r="F6" i="20"/>
  <c r="E6" i="20"/>
  <c r="D6" i="20"/>
  <c r="C6" i="20"/>
  <c r="H6" i="21"/>
  <c r="G6" i="21"/>
  <c r="F6" i="21"/>
  <c r="E6" i="21"/>
  <c r="C6" i="21"/>
  <c r="I6" i="19"/>
  <c r="H6" i="19"/>
  <c r="G6" i="19"/>
  <c r="F6" i="19"/>
  <c r="E6" i="19"/>
  <c r="D6" i="19"/>
  <c r="C6" i="19"/>
  <c r="I6" i="1"/>
  <c r="H6" i="1"/>
  <c r="G6" i="1"/>
  <c r="F6" i="1"/>
  <c r="E6" i="1"/>
  <c r="D6" i="1"/>
  <c r="C6" i="1"/>
  <c r="I5" i="1"/>
  <c r="H5" i="1"/>
  <c r="G5" i="1"/>
  <c r="F5" i="1"/>
  <c r="E5" i="1"/>
  <c r="D5" i="1"/>
  <c r="C5" i="1"/>
  <c r="H5" i="16"/>
  <c r="G5" i="16"/>
  <c r="F5" i="16"/>
  <c r="E5" i="16"/>
  <c r="D5" i="16"/>
  <c r="C5" i="16"/>
  <c r="H5" i="17"/>
  <c r="G5" i="17"/>
  <c r="F5" i="17"/>
  <c r="E5" i="17"/>
  <c r="D5" i="17"/>
  <c r="C5" i="17"/>
  <c r="I5" i="18"/>
  <c r="H5" i="18"/>
  <c r="G5" i="18"/>
  <c r="F5" i="18"/>
  <c r="E5" i="18"/>
  <c r="D5" i="18"/>
  <c r="C5" i="18"/>
  <c r="K5" i="20"/>
  <c r="J5" i="20"/>
  <c r="I5" i="20"/>
  <c r="H5" i="20"/>
  <c r="G5" i="20"/>
  <c r="F5" i="20"/>
  <c r="E5" i="20"/>
  <c r="D5" i="20"/>
  <c r="C5" i="20"/>
  <c r="H5" i="21"/>
  <c r="G5" i="21"/>
  <c r="F5" i="21"/>
  <c r="E5" i="21"/>
  <c r="C5" i="21"/>
  <c r="I5" i="19"/>
  <c r="H5" i="19"/>
  <c r="G5" i="19"/>
  <c r="F5" i="19"/>
  <c r="E5" i="19"/>
  <c r="D5" i="19"/>
  <c r="C5" i="19"/>
  <c r="H4" i="21"/>
  <c r="J4" i="20"/>
  <c r="I4" i="19"/>
  <c r="H4" i="19"/>
  <c r="G4" i="19"/>
  <c r="F4" i="19"/>
  <c r="E4" i="19"/>
  <c r="D4" i="19"/>
  <c r="K4" i="20"/>
  <c r="I4" i="20"/>
  <c r="H4" i="20"/>
  <c r="G4" i="20"/>
  <c r="F4" i="20"/>
  <c r="E4" i="20"/>
  <c r="D4" i="20"/>
  <c r="G4" i="21"/>
  <c r="F4" i="21"/>
  <c r="E4" i="21"/>
  <c r="C4" i="21"/>
  <c r="C4" i="20"/>
  <c r="C4" i="19"/>
  <c r="I4" i="18"/>
  <c r="H4" i="18"/>
  <c r="G4" i="18"/>
  <c r="F4" i="18"/>
  <c r="E4" i="18"/>
  <c r="D4" i="18"/>
  <c r="C4" i="18"/>
  <c r="H4" i="17"/>
  <c r="G4" i="17"/>
  <c r="F4" i="17"/>
  <c r="E4" i="17"/>
  <c r="D4" i="17"/>
  <c r="C4" i="17"/>
  <c r="H4" i="16"/>
  <c r="G4" i="16"/>
  <c r="F4" i="16"/>
  <c r="E4" i="16"/>
  <c r="D4" i="16"/>
  <c r="C4" i="16"/>
  <c r="I4" i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<sst xmlns="http://schemas.openxmlformats.org/spreadsheetml/2006/main" count="496" uniqueCount="65">
  <si>
    <t>Esc</t>
  </si>
  <si>
    <t>Actual</t>
  </si>
  <si>
    <t>Partidos</t>
  </si>
  <si>
    <t>Convencion</t>
  </si>
  <si>
    <t>Consejo</t>
  </si>
  <si>
    <t>Municipal</t>
  </si>
  <si>
    <t>Escenario</t>
  </si>
  <si>
    <t>Descripción</t>
  </si>
  <si>
    <t>Convención</t>
  </si>
  <si>
    <t>Mismos pactos del consejo. Aquellos partidos que no participaron de esta elección fueron distribuidos en pactos aparte</t>
  </si>
  <si>
    <t>Pactos a concejales de la última elección municipal.</t>
  </si>
  <si>
    <t>FA</t>
  </si>
  <si>
    <t>FREVS</t>
  </si>
  <si>
    <t>PSC</t>
  </si>
  <si>
    <t>PPD</t>
  </si>
  <si>
    <t>RN</t>
  </si>
  <si>
    <t>PL</t>
  </si>
  <si>
    <t>PCCH</t>
  </si>
  <si>
    <t>PDG</t>
  </si>
  <si>
    <t>REPUBLICANO</t>
  </si>
  <si>
    <t>PDC</t>
  </si>
  <si>
    <t>PR</t>
  </si>
  <si>
    <t>PS</t>
  </si>
  <si>
    <t>UDI</t>
  </si>
  <si>
    <t>DEMOCRATAS</t>
  </si>
  <si>
    <t>IND</t>
  </si>
  <si>
    <t>EVOPOLI</t>
  </si>
  <si>
    <t>AMARILLOS</t>
  </si>
  <si>
    <t>Simulacion</t>
  </si>
  <si>
    <t>Simulación</t>
  </si>
  <si>
    <t>Mismos pactos de la convención. Para aquellos partidos no constituidos en su época se tomaron supuestos de acuerdo a los candidatos que se llevaron en cada pacto. Por ejemplo, Republicanos va dentro de CHV y Amarillos y Democratas dentro de SD</t>
  </si>
  <si>
    <t>Personalizado 1 CHV+</t>
  </si>
  <si>
    <t>Personalizado 1 CHV</t>
  </si>
  <si>
    <t>Personalizado 2 CHV+</t>
  </si>
  <si>
    <t>Personalizado 2 CHV</t>
  </si>
  <si>
    <t>Pacto creado a criterio experto donde Amarillos y democratas van en pacto con CHV</t>
  </si>
  <si>
    <t>Pacto creado a criterio experto donde Amarillos y democratas van en pacto separado con CHV</t>
  </si>
  <si>
    <t>PH</t>
  </si>
  <si>
    <t>AH</t>
  </si>
  <si>
    <t>PAVP</t>
  </si>
  <si>
    <t>Partido</t>
  </si>
  <si>
    <t>Pacto</t>
  </si>
  <si>
    <t>p1</t>
  </si>
  <si>
    <t>p2</t>
  </si>
  <si>
    <t>p3</t>
  </si>
  <si>
    <t>PTR</t>
  </si>
  <si>
    <t>p4</t>
  </si>
  <si>
    <t>p5</t>
  </si>
  <si>
    <t>p6</t>
  </si>
  <si>
    <t>POPULAR</t>
  </si>
  <si>
    <t>p7</t>
  </si>
  <si>
    <t>IGUALDAD</t>
  </si>
  <si>
    <t>p8</t>
  </si>
  <si>
    <t>p9</t>
  </si>
  <si>
    <t>p10</t>
  </si>
  <si>
    <t>p11</t>
  </si>
  <si>
    <t>p12</t>
  </si>
  <si>
    <t>p13</t>
  </si>
  <si>
    <t>p14</t>
  </si>
  <si>
    <t>Pactos creados a criterio experto donde Amarillos y democratas van en pacto con CHV</t>
  </si>
  <si>
    <t>REP</t>
  </si>
  <si>
    <t>DEM</t>
  </si>
  <si>
    <t>EVO</t>
  </si>
  <si>
    <r>
      <rPr>
        <b/>
        <sz val="11"/>
        <color theme="1"/>
        <rFont val="Aptos Narrow"/>
        <family val="2"/>
        <scheme val="minor"/>
      </rPr>
      <t xml:space="preserve">
Algunos puntos a tener en cuenta sobre los resultados del modelo:</t>
    </r>
    <r>
      <rPr>
        <sz val="11"/>
        <color theme="1"/>
        <rFont val="Aptos Narrow"/>
        <family val="2"/>
        <scheme val="minor"/>
      </rPr>
      <t xml:space="preserve">
-  Los resultados presentados son el producto de un modelo mixto que combina variables determinísticas y probabilísticas. Las variables determinísticas están basadas en datos observables y predecibles, mientras que las probabilísticas buscan capturar aquellas dinámicas que no se pueden predecir completamente a partir de mediciones conocidas. Esto permite modelar incertidumbres inherentes al sistema. Aunque los resultados no representan la realidad al 100%, se estima que los resultados reales estarán dentro de un rango cercano, considerando un margen de error razonable.</t>
    </r>
  </si>
  <si>
    <r>
      <rPr>
        <b/>
        <sz val="11"/>
        <color theme="1"/>
        <rFont val="Aptos Narrow"/>
        <family val="2"/>
        <scheme val="minor"/>
      </rPr>
      <t xml:space="preserve">
Algunos puntos a tener en cuenta sobre los resultados del modelo:</t>
    </r>
    <r>
      <rPr>
        <sz val="11"/>
        <color theme="1"/>
        <rFont val="Aptos Narrow"/>
        <family val="2"/>
        <scheme val="minor"/>
      </rPr>
      <t xml:space="preserve">
-  Los resultados presentados son el producto de un modelo mixto que combina variables determinísticas y probabilísticas. Las variables determinísticas están basadas en datos observables y predecibles, mientras que las probabilísticas buscan capturar aquellas dinámicas que no se pueden predecir completamente a partir de mediciones conocidas. Esto permite modelar incertidumbres inherentes al sistema. Aunque los resultados no representan la realidad al 100%, se estima que los resultados reales estarán dentro de un rango cercano, considerando un margen de error razonable.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</si>
</sst>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3A3A3A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58DF3"/>
        <bgColor indexed="64"/>
      </patternFill>
    </fill>
    <fill>
      <patternFill patternType="solid">
        <fgColor rgb="FF3A3A3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3" xfId="0" applyBorder="1"/>
    <xf numFmtId="0" fontId="0" fillId="0" borderId="4" xfId="0" applyBorder="1"/>
    <xf numFmtId="0" fontId="2" fillId="3" borderId="2" xfId="0" applyFont="1" applyFill="1" applyBorder="1"/>
    <xf numFmtId="10" fontId="2" fillId="3" borderId="2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0" fontId="0" fillId="5" borderId="13" xfId="0" applyFill="1" applyBorder="1"/>
    <xf numFmtId="0" fontId="0" fillId="6" borderId="13" xfId="0" applyFill="1" applyBorder="1"/>
    <xf numFmtId="0" fontId="0" fillId="7" borderId="13" xfId="0" applyFill="1" applyBorder="1"/>
    <xf numFmtId="0" fontId="0" fillId="8" borderId="13" xfId="0" applyFill="1" applyBorder="1"/>
    <xf numFmtId="0" fontId="0" fillId="9" borderId="13" xfId="0" applyFill="1" applyBorder="1"/>
    <xf numFmtId="0" fontId="0" fillId="10" borderId="13" xfId="0" applyFill="1" applyBorder="1"/>
    <xf numFmtId="0" fontId="0" fillId="10" borderId="15" xfId="0" applyFill="1" applyBorder="1"/>
    <xf numFmtId="0" fontId="0" fillId="0" borderId="16" xfId="0" applyBorder="1" applyAlignment="1">
      <alignment horizontal="center"/>
    </xf>
    <xf numFmtId="0" fontId="0" fillId="11" borderId="13" xfId="0" applyFill="1" applyBorder="1"/>
    <xf numFmtId="0" fontId="0" fillId="11" borderId="15" xfId="0" applyFill="1" applyBorder="1"/>
    <xf numFmtId="0" fontId="0" fillId="12" borderId="13" xfId="0" applyFill="1" applyBorder="1"/>
    <xf numFmtId="0" fontId="0" fillId="13" borderId="13" xfId="0" applyFill="1" applyBorder="1"/>
    <xf numFmtId="0" fontId="0" fillId="14" borderId="13" xfId="0" applyFill="1" applyBorder="1"/>
    <xf numFmtId="0" fontId="0" fillId="15" borderId="13" xfId="0" applyFill="1" applyBorder="1"/>
    <xf numFmtId="0" fontId="4" fillId="16" borderId="13" xfId="0" applyFont="1" applyFill="1" applyBorder="1"/>
    <xf numFmtId="0" fontId="0" fillId="0" borderId="15" xfId="0" applyBorder="1"/>
    <xf numFmtId="0" fontId="0" fillId="12" borderId="15" xfId="0" applyFill="1" applyBorder="1"/>
    <xf numFmtId="0" fontId="5" fillId="0" borderId="0" xfId="0" applyFont="1"/>
    <xf numFmtId="0" fontId="0" fillId="0" borderId="5" xfId="0" applyBorder="1" applyAlignment="1">
      <alignment horizontal="justify" vertical="top" wrapText="1"/>
    </xf>
    <xf numFmtId="0" fontId="0" fillId="0" borderId="6" xfId="0" applyBorder="1" applyAlignment="1">
      <alignment horizontal="justify" vertical="top" wrapText="1"/>
    </xf>
    <xf numFmtId="0" fontId="0" fillId="0" borderId="7" xfId="0" applyBorder="1" applyAlignment="1">
      <alignment horizontal="justify" vertical="top" wrapText="1"/>
    </xf>
    <xf numFmtId="0" fontId="0" fillId="0" borderId="8" xfId="0" applyBorder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0" fillId="0" borderId="9" xfId="0" applyBorder="1" applyAlignment="1">
      <alignment horizontal="justify" vertical="top" wrapText="1"/>
    </xf>
    <xf numFmtId="0" fontId="0" fillId="0" borderId="10" xfId="0" applyBorder="1" applyAlignment="1">
      <alignment horizontal="justify" vertical="top" wrapText="1"/>
    </xf>
    <xf numFmtId="0" fontId="0" fillId="0" borderId="11" xfId="0" applyBorder="1" applyAlignment="1">
      <alignment horizontal="justify" vertical="top" wrapText="1"/>
    </xf>
    <xf numFmtId="0" fontId="0" fillId="0" borderId="12" xfId="0" applyBorder="1" applyAlignment="1">
      <alignment horizontal="justify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15"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ABAB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ABAB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ABAB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ABAB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rgb="FFFFABAB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3A3A3A"/>
      <color rgb="FF058D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10" Type="http://schemas.openxmlformats.org/officeDocument/2006/relationships/externalLink" Target="externalLinks/externalLink2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28</xdr:row>
      <xdr:rowOff>813</xdr:rowOff>
    </xdr:from>
    <xdr:to>
      <xdr:col>3</xdr:col>
      <xdr:colOff>0</xdr:colOff>
      <xdr:row>31</xdr:row>
      <xdr:rowOff>7249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E634B5-A1AB-4C88-93B4-BDAA767EB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451" y="5868213"/>
          <a:ext cx="4451349" cy="552536"/>
        </a:xfrm>
        <a:prstGeom prst="rect">
          <a:avLst/>
        </a:prstGeom>
      </xdr:spPr>
    </xdr:pic>
    <xdr:clientData/>
  </xdr:twoCellAnchor>
  <xdr:twoCellAnchor editAs="oneCell">
    <xdr:from>
      <xdr:col>5</xdr:col>
      <xdr:colOff>38101</xdr:colOff>
      <xdr:row>28</xdr:row>
      <xdr:rowOff>813</xdr:rowOff>
    </xdr:from>
    <xdr:to>
      <xdr:col>6</xdr:col>
      <xdr:colOff>3454400</xdr:colOff>
      <xdr:row>31</xdr:row>
      <xdr:rowOff>7249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79E3DC-12E3-4120-A109-3B86636B2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1" y="5868213"/>
          <a:ext cx="4448174" cy="552536"/>
        </a:xfrm>
        <a:prstGeom prst="rect">
          <a:avLst/>
        </a:prstGeom>
      </xdr:spPr>
    </xdr:pic>
    <xdr:clientData/>
  </xdr:twoCellAnchor>
  <xdr:twoCellAnchor editAs="oneCell">
    <xdr:from>
      <xdr:col>9</xdr:col>
      <xdr:colOff>34926</xdr:colOff>
      <xdr:row>28</xdr:row>
      <xdr:rowOff>813</xdr:rowOff>
    </xdr:from>
    <xdr:to>
      <xdr:col>10</xdr:col>
      <xdr:colOff>3454400</xdr:colOff>
      <xdr:row>31</xdr:row>
      <xdr:rowOff>10424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2C9E3AD-FF32-43C3-95F7-01F27D543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6526" y="5868213"/>
          <a:ext cx="4451349" cy="549361"/>
        </a:xfrm>
        <a:prstGeom prst="rect">
          <a:avLst/>
        </a:prstGeom>
      </xdr:spPr>
    </xdr:pic>
    <xdr:clientData/>
  </xdr:twoCellAnchor>
  <xdr:twoCellAnchor editAs="oneCell">
    <xdr:from>
      <xdr:col>13</xdr:col>
      <xdr:colOff>44451</xdr:colOff>
      <xdr:row>28</xdr:row>
      <xdr:rowOff>813</xdr:rowOff>
    </xdr:from>
    <xdr:to>
      <xdr:col>14</xdr:col>
      <xdr:colOff>3463925</xdr:colOff>
      <xdr:row>31</xdr:row>
      <xdr:rowOff>10424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C3448B5-0083-4D57-885F-C28B4DCF2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69026" y="5868213"/>
          <a:ext cx="4444999" cy="549361"/>
        </a:xfrm>
        <a:prstGeom prst="rect">
          <a:avLst/>
        </a:prstGeom>
      </xdr:spPr>
    </xdr:pic>
    <xdr:clientData/>
  </xdr:twoCellAnchor>
  <xdr:twoCellAnchor editAs="oneCell">
    <xdr:from>
      <xdr:col>17</xdr:col>
      <xdr:colOff>47626</xdr:colOff>
      <xdr:row>28</xdr:row>
      <xdr:rowOff>813</xdr:rowOff>
    </xdr:from>
    <xdr:to>
      <xdr:col>19</xdr:col>
      <xdr:colOff>0</xdr:colOff>
      <xdr:row>31</xdr:row>
      <xdr:rowOff>7249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3E13198-CF0B-4D4D-8A13-7AA6F98ED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85651" y="5868213"/>
          <a:ext cx="4451349" cy="552536"/>
        </a:xfrm>
        <a:prstGeom prst="rect">
          <a:avLst/>
        </a:prstGeom>
      </xdr:spPr>
    </xdr:pic>
    <xdr:clientData/>
  </xdr:twoCellAnchor>
  <xdr:twoCellAnchor editAs="oneCell">
    <xdr:from>
      <xdr:col>21</xdr:col>
      <xdr:colOff>53976</xdr:colOff>
      <xdr:row>28</xdr:row>
      <xdr:rowOff>813</xdr:rowOff>
    </xdr:from>
    <xdr:to>
      <xdr:col>23</xdr:col>
      <xdr:colOff>0</xdr:colOff>
      <xdr:row>31</xdr:row>
      <xdr:rowOff>10424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AB815D9-8258-476B-B6C8-274B36EB5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14976" y="5868213"/>
          <a:ext cx="4441824" cy="549361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47626</xdr:colOff>
      <xdr:row>28</xdr:row>
      <xdr:rowOff>813</xdr:rowOff>
    </xdr:from>
    <xdr:to>
      <xdr:col>27</xdr:col>
      <xdr:colOff>0</xdr:colOff>
      <xdr:row>31</xdr:row>
      <xdr:rowOff>10424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18EB1F7-4B92-4B12-B1E8-E5E8C698D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25251" y="5868213"/>
          <a:ext cx="4451349" cy="5493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168275</xdr:colOff>
      <xdr:row>23</xdr:row>
      <xdr:rowOff>104775</xdr:rowOff>
    </xdr:from>
    <xdr:to>
      <xdr:col>8</xdr:col>
      <xdr:colOff>219075</xdr:colOff>
      <xdr:row>26</xdr:row>
      <xdr:rowOff>67262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280DB06-E894-AECA-FE47-748861D19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4991100"/>
          <a:ext cx="3975100" cy="5054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263526</xdr:colOff>
      <xdr:row>23</xdr:row>
      <xdr:rowOff>152401</xdr:rowOff>
    </xdr:from>
    <xdr:to>
      <xdr:col>6</xdr:col>
      <xdr:colOff>463551</xdr:colOff>
      <xdr:row>26</xdr:row>
      <xdr:rowOff>19537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617955-3957-418E-B99E-CF140A56E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6" y="5248276"/>
          <a:ext cx="3190875" cy="4100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295276</xdr:colOff>
      <xdr:row>23</xdr:row>
      <xdr:rowOff>133350</xdr:rowOff>
    </xdr:from>
    <xdr:to>
      <xdr:col>7</xdr:col>
      <xdr:colOff>35355</xdr:colOff>
      <xdr:row>26</xdr:row>
      <xdr:rowOff>6350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405455-4542-4D84-9B22-698CE7B71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6" y="5362575"/>
          <a:ext cx="3273854" cy="4159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24</xdr:row>
      <xdr:rowOff>0</xdr:rowOff>
    </xdr:from>
    <xdr:to>
      <xdr:col>7</xdr:col>
      <xdr:colOff>444500</xdr:colOff>
      <xdr:row>26</xdr:row>
      <xdr:rowOff>111448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24FBEB-7828-4014-B9E9-080EFC3F7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038725"/>
          <a:ext cx="3692525" cy="47339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161926</xdr:colOff>
      <xdr:row>23</xdr:row>
      <xdr:rowOff>120651</xdr:rowOff>
    </xdr:from>
    <xdr:to>
      <xdr:col>10</xdr:col>
      <xdr:colOff>1</xdr:colOff>
      <xdr:row>26</xdr:row>
      <xdr:rowOff>161150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CD3495-F09A-48DB-8872-5BFA8D4C5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5149851"/>
          <a:ext cx="4581525" cy="5834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23</xdr:row>
      <xdr:rowOff>95250</xdr:rowOff>
    </xdr:from>
    <xdr:to>
      <xdr:col>7</xdr:col>
      <xdr:colOff>439944</xdr:colOff>
      <xdr:row>26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CD07AA-34A7-4ACB-A1C6-3185BC2DE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4943475"/>
          <a:ext cx="3659394" cy="466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23</xdr:row>
      <xdr:rowOff>152400</xdr:rowOff>
    </xdr:from>
    <xdr:to>
      <xdr:col>7</xdr:col>
      <xdr:colOff>161925</xdr:colOff>
      <xdr:row>26</xdr:row>
      <xdr:rowOff>59279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C5FB40-FF1E-4D78-AFEF-7C28C1D6A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5038725"/>
          <a:ext cx="3581400" cy="4498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Diputados\Version%20con%20incumbencia%20corregida_v2\resultados_proyectados_proporciones.csv" TargetMode="External"/><Relationship Id="rId1" Type="http://schemas.openxmlformats.org/officeDocument/2006/relationships/externalLinkPath" Target="/Users/Ivan/Desktop/Ivan/Laboral/EstrategiaSur/GitProjects/Proyeccion-electoral-congreso/Resultados/Diputados/Version%20con%20incumbencia%20corregida_v2/resultados_proyectados_proporciones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art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art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Conv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Conv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Cons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Cons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Mun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Mun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ers1_CHV1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ers1_CHV1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ers1_CHV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ers1_CHV.csv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ers2_CHV1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ers2_CHV1.csv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ers2_CHV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ers2_CHV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proyectados_proporci"/>
    </sheetNames>
    <sheetDataSet>
      <sheetData sheetId="0" refreshError="1">
        <row r="1">
          <cell r="A1" t="str">
            <v>Distrito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2.1126260820199201E-2</v>
          </cell>
          <cell r="C2">
            <v>0</v>
          </cell>
          <cell r="D2">
            <v>5.0150345286282198E-2</v>
          </cell>
          <cell r="E2">
            <v>2.5185096545189099E-3</v>
          </cell>
          <cell r="F2">
            <v>2.4272310725650802E-2</v>
          </cell>
          <cell r="G2">
            <v>3.0013399584515401E-2</v>
          </cell>
          <cell r="H2">
            <v>5.0759796793839801E-3</v>
          </cell>
          <cell r="I2">
            <v>0</v>
          </cell>
          <cell r="J2">
            <v>0</v>
          </cell>
          <cell r="K2">
            <v>4.7471819824984399E-2</v>
          </cell>
          <cell r="L2">
            <v>3.8587463944264398E-2</v>
          </cell>
          <cell r="M2">
            <v>4.8589147588839997E-2</v>
          </cell>
          <cell r="N2">
            <v>3.9110646060341203E-2</v>
          </cell>
          <cell r="O2">
            <v>3.4069452425909197E-2</v>
          </cell>
          <cell r="P2">
            <v>1.01199561974121E-2</v>
          </cell>
          <cell r="Q2">
            <v>1.5386563403132599E-2</v>
          </cell>
          <cell r="R2">
            <v>3.06645943460154E-2</v>
          </cell>
          <cell r="S2">
            <v>4.28327528701965E-2</v>
          </cell>
          <cell r="T2">
            <v>2.3451360064785501E-2</v>
          </cell>
          <cell r="U2">
            <v>0</v>
          </cell>
          <cell r="V2">
            <v>0.147657020728308</v>
          </cell>
          <cell r="W2">
            <v>7.8602547173355505E-2</v>
          </cell>
          <cell r="X2">
            <v>5.2472661647272198E-2</v>
          </cell>
          <cell r="Y2">
            <v>0.101248262437054</v>
          </cell>
          <cell r="Z2">
            <v>0.15657894553757601</v>
          </cell>
        </row>
        <row r="3">
          <cell r="A3">
            <v>2</v>
          </cell>
          <cell r="B3">
            <v>2.91250547089483E-2</v>
          </cell>
          <cell r="C3">
            <v>0</v>
          </cell>
          <cell r="D3">
            <v>3.9108863920863997E-2</v>
          </cell>
          <cell r="E3">
            <v>7.3924669476334599E-3</v>
          </cell>
          <cell r="F3">
            <v>3.7323490313583001E-2</v>
          </cell>
          <cell r="G3">
            <v>3.5576884818917201E-2</v>
          </cell>
          <cell r="H3">
            <v>3.6754891328559399E-3</v>
          </cell>
          <cell r="I3">
            <v>5.5091528453244103E-4</v>
          </cell>
          <cell r="J3">
            <v>0</v>
          </cell>
          <cell r="K3">
            <v>2.9565786936574301E-2</v>
          </cell>
          <cell r="L3">
            <v>5.7802235695841697E-2</v>
          </cell>
          <cell r="M3">
            <v>5.6996267038840497E-2</v>
          </cell>
          <cell r="N3">
            <v>5.8944534733338296E-3</v>
          </cell>
          <cell r="O3">
            <v>1.8156739479303401E-2</v>
          </cell>
          <cell r="P3">
            <v>9.9753074328333899E-3</v>
          </cell>
          <cell r="Q3">
            <v>3.3547680187556002E-2</v>
          </cell>
          <cell r="R3">
            <v>4.2954048564202499E-2</v>
          </cell>
          <cell r="S3">
            <v>2.9282167586389098E-2</v>
          </cell>
          <cell r="T3">
            <v>3.7812172575232998E-2</v>
          </cell>
          <cell r="U3">
            <v>0</v>
          </cell>
          <cell r="V3">
            <v>0.116809343523225</v>
          </cell>
          <cell r="W3">
            <v>9.1200964713875995E-2</v>
          </cell>
          <cell r="X3">
            <v>5.8875500287190102E-2</v>
          </cell>
          <cell r="Y3">
            <v>0.106464378735894</v>
          </cell>
          <cell r="Z3">
            <v>0.15190978864237101</v>
          </cell>
        </row>
        <row r="4">
          <cell r="A4">
            <v>3</v>
          </cell>
          <cell r="B4">
            <v>1.11977216534955E-2</v>
          </cell>
          <cell r="C4">
            <v>0</v>
          </cell>
          <cell r="D4">
            <v>3.29363518844678E-2</v>
          </cell>
          <cell r="E4">
            <v>3.4737881380395103E-2</v>
          </cell>
          <cell r="F4">
            <v>4.1286140407391397E-2</v>
          </cell>
          <cell r="G4">
            <v>6.0158011655294399E-2</v>
          </cell>
          <cell r="H4">
            <v>2.3659564439498502E-3</v>
          </cell>
          <cell r="I4">
            <v>0</v>
          </cell>
          <cell r="J4">
            <v>0</v>
          </cell>
          <cell r="K4">
            <v>5.1442687829713798E-2</v>
          </cell>
          <cell r="L4">
            <v>4.3908686248342203E-2</v>
          </cell>
          <cell r="M4">
            <v>5.53134922793087E-2</v>
          </cell>
          <cell r="N4">
            <v>2.1620097085618501E-3</v>
          </cell>
          <cell r="O4">
            <v>1.8171131182723701E-2</v>
          </cell>
          <cell r="P4">
            <v>1.30961694270944E-3</v>
          </cell>
          <cell r="Q4">
            <v>2.0979843787259499E-2</v>
          </cell>
          <cell r="R4">
            <v>4.5091054373245502E-2</v>
          </cell>
          <cell r="S4">
            <v>3.7601502721381498E-2</v>
          </cell>
          <cell r="T4">
            <v>4.0432178820497502E-2</v>
          </cell>
          <cell r="U4">
            <v>0</v>
          </cell>
          <cell r="V4">
            <v>9.7582760539339702E-2</v>
          </cell>
          <cell r="W4">
            <v>6.4175762342438006E-2</v>
          </cell>
          <cell r="X4">
            <v>3.9654043583940202E-2</v>
          </cell>
          <cell r="Y4">
            <v>0.11706281141097601</v>
          </cell>
          <cell r="Z4">
            <v>0.18243035480456599</v>
          </cell>
        </row>
        <row r="5">
          <cell r="A5">
            <v>4</v>
          </cell>
          <cell r="B5">
            <v>0</v>
          </cell>
          <cell r="C5">
            <v>2.2367195741033699E-2</v>
          </cell>
          <cell r="D5">
            <v>1.09162793380801E-2</v>
          </cell>
          <cell r="E5">
            <v>0</v>
          </cell>
          <cell r="F5">
            <v>3.9251013647151903E-2</v>
          </cell>
          <cell r="G5">
            <v>8.7426036722046394E-2</v>
          </cell>
          <cell r="H5">
            <v>1.5351329004043599E-2</v>
          </cell>
          <cell r="I5">
            <v>7.3654239187763697E-4</v>
          </cell>
          <cell r="J5">
            <v>0</v>
          </cell>
          <cell r="K5">
            <v>7.6451040018459898E-2</v>
          </cell>
          <cell r="L5">
            <v>1.96713475738396E-2</v>
          </cell>
          <cell r="M5">
            <v>2.6051967958860701E-2</v>
          </cell>
          <cell r="N5">
            <v>5.9513998769338897E-3</v>
          </cell>
          <cell r="O5">
            <v>1.45083399261603E-2</v>
          </cell>
          <cell r="P5">
            <v>1.30592914908579E-2</v>
          </cell>
          <cell r="Q5">
            <v>3.6847722178270002E-2</v>
          </cell>
          <cell r="R5">
            <v>4.77094046677215E-2</v>
          </cell>
          <cell r="S5">
            <v>8.0470604232594903E-2</v>
          </cell>
          <cell r="T5">
            <v>2.5363841640295301E-2</v>
          </cell>
          <cell r="U5">
            <v>0</v>
          </cell>
          <cell r="V5">
            <v>7.8629763317510495E-2</v>
          </cell>
          <cell r="W5">
            <v>0.109172064543776</v>
          </cell>
          <cell r="X5">
            <v>5.3866487012130801E-2</v>
          </cell>
          <cell r="Y5">
            <v>0.102013696598101</v>
          </cell>
          <cell r="Z5">
            <v>0.134184632120253</v>
          </cell>
        </row>
        <row r="6">
          <cell r="A6">
            <v>5</v>
          </cell>
          <cell r="B6">
            <v>8.1510000200261407E-3</v>
          </cell>
          <cell r="C6">
            <v>1.25281438907373E-2</v>
          </cell>
          <cell r="D6">
            <v>3.0487307713214101E-2</v>
          </cell>
          <cell r="E6">
            <v>1.1597285598624401E-2</v>
          </cell>
          <cell r="F6">
            <v>5.02370237710381E-2</v>
          </cell>
          <cell r="G6">
            <v>2.0612270879405301E-2</v>
          </cell>
          <cell r="H6">
            <v>1.77994314481098E-3</v>
          </cell>
          <cell r="I6">
            <v>6.7033955765098997E-3</v>
          </cell>
          <cell r="J6">
            <v>0</v>
          </cell>
          <cell r="K6">
            <v>7.5763210820986193E-2</v>
          </cell>
          <cell r="L6">
            <v>6.2396471964822599E-2</v>
          </cell>
          <cell r="M6">
            <v>3.9002712112672797E-2</v>
          </cell>
          <cell r="N6">
            <v>1.77994314481098E-3</v>
          </cell>
          <cell r="O6">
            <v>1.11409755022987E-2</v>
          </cell>
          <cell r="P6">
            <v>1.77994314481098E-3</v>
          </cell>
          <cell r="Q6">
            <v>2.7385757975413601E-2</v>
          </cell>
          <cell r="R6">
            <v>3.0860294727687199E-2</v>
          </cell>
          <cell r="S6">
            <v>5.9917163267466302E-2</v>
          </cell>
          <cell r="T6">
            <v>2.7719407912617299E-2</v>
          </cell>
          <cell r="U6">
            <v>0</v>
          </cell>
          <cell r="V6">
            <v>8.2057500793893706E-2</v>
          </cell>
          <cell r="W6">
            <v>8.5525958179680298E-2</v>
          </cell>
          <cell r="X6">
            <v>9.4617829566033304E-2</v>
          </cell>
          <cell r="Y6">
            <v>0.117210185871266</v>
          </cell>
          <cell r="Z6">
            <v>0.14074627442117199</v>
          </cell>
        </row>
        <row r="7">
          <cell r="A7">
            <v>6</v>
          </cell>
          <cell r="B7">
            <v>0</v>
          </cell>
          <cell r="C7">
            <v>8.48840932134046E-3</v>
          </cell>
          <cell r="D7">
            <v>1.28349313869039E-2</v>
          </cell>
          <cell r="E7">
            <v>4.7822143116751197E-3</v>
          </cell>
          <cell r="F7">
            <v>6.2517902032209097E-2</v>
          </cell>
          <cell r="G7">
            <v>2.62809562854509E-2</v>
          </cell>
          <cell r="H7">
            <v>5.7916148637955703E-3</v>
          </cell>
          <cell r="I7">
            <v>1.3621707255849999E-2</v>
          </cell>
          <cell r="J7">
            <v>0</v>
          </cell>
          <cell r="K7">
            <v>5.9195116199122003E-2</v>
          </cell>
          <cell r="L7">
            <v>4.6879642406291701E-2</v>
          </cell>
          <cell r="M7">
            <v>1.5844299894562399E-2</v>
          </cell>
          <cell r="N7">
            <v>5.7916148637955703E-3</v>
          </cell>
          <cell r="O7">
            <v>1.7070984386195299E-2</v>
          </cell>
          <cell r="P7">
            <v>1.3205410341984599E-2</v>
          </cell>
          <cell r="Q7">
            <v>3.8456165284210399E-2</v>
          </cell>
          <cell r="R7">
            <v>4.1129066941162098E-2</v>
          </cell>
          <cell r="S7">
            <v>5.2437107824273799E-2</v>
          </cell>
          <cell r="T7">
            <v>2.3119798221082601E-2</v>
          </cell>
          <cell r="U7">
            <v>0</v>
          </cell>
          <cell r="V7">
            <v>0.134046481897549</v>
          </cell>
          <cell r="W7">
            <v>0.12779078451870199</v>
          </cell>
          <cell r="X7">
            <v>5.7433514065972802E-2</v>
          </cell>
          <cell r="Y7">
            <v>9.3038565509983406E-2</v>
          </cell>
          <cell r="Z7">
            <v>0.140243712187886</v>
          </cell>
        </row>
        <row r="8">
          <cell r="A8">
            <v>7</v>
          </cell>
          <cell r="B8">
            <v>0</v>
          </cell>
          <cell r="C8">
            <v>3.9725626508038897E-3</v>
          </cell>
          <cell r="D8">
            <v>7.4052175159463902E-3</v>
          </cell>
          <cell r="E8">
            <v>1.7617477722831398E-2</v>
          </cell>
          <cell r="F8">
            <v>0.106385424878759</v>
          </cell>
          <cell r="G8">
            <v>1.1975620535607599E-2</v>
          </cell>
          <cell r="H8">
            <v>5.9377911560237898E-3</v>
          </cell>
          <cell r="I8">
            <v>1.07055830287393E-3</v>
          </cell>
          <cell r="J8">
            <v>0</v>
          </cell>
          <cell r="K8">
            <v>6.2897465300174399E-2</v>
          </cell>
          <cell r="L8">
            <v>4.3716405074177601E-2</v>
          </cell>
          <cell r="M8">
            <v>3.2252621897321899E-2</v>
          </cell>
          <cell r="N8">
            <v>5.9377911560237898E-3</v>
          </cell>
          <cell r="O8">
            <v>1.1194725148713501E-2</v>
          </cell>
          <cell r="P8">
            <v>1.7709453164193999E-2</v>
          </cell>
          <cell r="Q8">
            <v>2.9386750758498701E-2</v>
          </cell>
          <cell r="R8">
            <v>3.22538163835734E-2</v>
          </cell>
          <cell r="S8">
            <v>3.3905193626221297E-2</v>
          </cell>
          <cell r="T8">
            <v>2.5004777945005802E-2</v>
          </cell>
          <cell r="U8">
            <v>0</v>
          </cell>
          <cell r="V8">
            <v>0.15184368952913299</v>
          </cell>
          <cell r="W8">
            <v>8.1187737404142493E-2</v>
          </cell>
          <cell r="X8">
            <v>6.8755524498913007E-2</v>
          </cell>
          <cell r="Y8">
            <v>9.4810853102080803E-2</v>
          </cell>
          <cell r="Z8">
            <v>0.154778542248978</v>
          </cell>
        </row>
        <row r="9">
          <cell r="A9">
            <v>8</v>
          </cell>
          <cell r="B9">
            <v>4.9363051088710704E-3</v>
          </cell>
          <cell r="C9">
            <v>0</v>
          </cell>
          <cell r="D9">
            <v>1.9667428681695E-2</v>
          </cell>
          <cell r="E9">
            <v>1.45194659177771E-2</v>
          </cell>
          <cell r="F9">
            <v>0.137430792931168</v>
          </cell>
          <cell r="G9">
            <v>1.7567585368884201E-2</v>
          </cell>
          <cell r="H9">
            <v>3.1261485557851098E-3</v>
          </cell>
          <cell r="I9">
            <v>2.23317517456861E-3</v>
          </cell>
          <cell r="J9">
            <v>3.10159460634346E-2</v>
          </cell>
          <cell r="K9">
            <v>7.1385771977238499E-2</v>
          </cell>
          <cell r="L9">
            <v>3.9819587215948797E-2</v>
          </cell>
          <cell r="M9">
            <v>3.1374286567731599E-2</v>
          </cell>
          <cell r="N9">
            <v>2.1223857134702401E-2</v>
          </cell>
          <cell r="O9">
            <v>2.7083279187661801E-2</v>
          </cell>
          <cell r="P9">
            <v>3.1261485557851098E-3</v>
          </cell>
          <cell r="Q9">
            <v>2.1759261402010299E-2</v>
          </cell>
          <cell r="R9">
            <v>2.57513846754161E-2</v>
          </cell>
          <cell r="S9">
            <v>3.67525983691857E-2</v>
          </cell>
          <cell r="T9">
            <v>1.17369421111863E-2</v>
          </cell>
          <cell r="U9">
            <v>0</v>
          </cell>
          <cell r="V9">
            <v>0.13611776781457799</v>
          </cell>
          <cell r="W9">
            <v>7.6131068958384396E-2</v>
          </cell>
          <cell r="X9">
            <v>5.5893286091012399E-2</v>
          </cell>
          <cell r="Y9">
            <v>8.4743167943673703E-2</v>
          </cell>
          <cell r="Z9">
            <v>0.12660474419329901</v>
          </cell>
        </row>
        <row r="10">
          <cell r="A10">
            <v>9</v>
          </cell>
          <cell r="B10">
            <v>5.0499733344393002E-3</v>
          </cell>
          <cell r="C10">
            <v>0</v>
          </cell>
          <cell r="D10">
            <v>2.92058342013598E-2</v>
          </cell>
          <cell r="E10">
            <v>1.4756450114664499E-2</v>
          </cell>
          <cell r="F10">
            <v>7.3330026059404294E-2</v>
          </cell>
          <cell r="G10">
            <v>1.9712043847433601E-2</v>
          </cell>
          <cell r="H10">
            <v>1.0506709459175601E-3</v>
          </cell>
          <cell r="I10">
            <v>0</v>
          </cell>
          <cell r="J10">
            <v>2.7423256090940401E-2</v>
          </cell>
          <cell r="K10">
            <v>9.9208381121314707E-2</v>
          </cell>
          <cell r="L10">
            <v>2.94376624060258E-2</v>
          </cell>
          <cell r="M10">
            <v>3.2436541016843103E-2</v>
          </cell>
          <cell r="N10">
            <v>1.70898860691985E-2</v>
          </cell>
          <cell r="O10">
            <v>7.4001583450443702E-3</v>
          </cell>
          <cell r="P10">
            <v>1.0506709459175601E-3</v>
          </cell>
          <cell r="Q10">
            <v>4.2564402779173498E-2</v>
          </cell>
          <cell r="R10">
            <v>2.66812463211894E-2</v>
          </cell>
          <cell r="S10">
            <v>5.2604797248688301E-2</v>
          </cell>
          <cell r="T10">
            <v>2.3981989713420901E-2</v>
          </cell>
          <cell r="U10">
            <v>0</v>
          </cell>
          <cell r="V10">
            <v>9.8662574579824594E-2</v>
          </cell>
          <cell r="W10">
            <v>9.0234874937722698E-2</v>
          </cell>
          <cell r="X10">
            <v>6.3577024123426099E-2</v>
          </cell>
          <cell r="Y10">
            <v>9.1541567169297802E-2</v>
          </cell>
          <cell r="Z10">
            <v>0.15299996862875201</v>
          </cell>
        </row>
        <row r="11">
          <cell r="A11">
            <v>10</v>
          </cell>
          <cell r="B11">
            <v>8.5634424537604E-3</v>
          </cell>
          <cell r="C11">
            <v>0</v>
          </cell>
          <cell r="D11">
            <v>1.2173111772447001E-2</v>
          </cell>
          <cell r="E11">
            <v>2.97878173558652E-2</v>
          </cell>
          <cell r="F11">
            <v>0.16288281447476899</v>
          </cell>
          <cell r="G11">
            <v>1.9907971967522298E-2</v>
          </cell>
          <cell r="H11">
            <v>2.1764202625704099E-3</v>
          </cell>
          <cell r="I11">
            <v>2.9646054019570999E-3</v>
          </cell>
          <cell r="J11">
            <v>3.6587772790034799E-2</v>
          </cell>
          <cell r="K11">
            <v>9.9070370627614396E-2</v>
          </cell>
          <cell r="L11">
            <v>3.4757274078431301E-2</v>
          </cell>
          <cell r="M11">
            <v>1.3307829511664E-2</v>
          </cell>
          <cell r="N11">
            <v>8.6219673560044702E-3</v>
          </cell>
          <cell r="O11">
            <v>1.56825690775463E-2</v>
          </cell>
          <cell r="P11">
            <v>2.1764202625704099E-3</v>
          </cell>
          <cell r="Q11">
            <v>2.28473206831281E-2</v>
          </cell>
          <cell r="R11">
            <v>1.30599473561035E-2</v>
          </cell>
          <cell r="S11">
            <v>4.7485625584697301E-2</v>
          </cell>
          <cell r="T11">
            <v>1.26552293256199E-2</v>
          </cell>
          <cell r="U11">
            <v>0</v>
          </cell>
          <cell r="V11">
            <v>0.11048659654134101</v>
          </cell>
          <cell r="W11">
            <v>9.5787612450813103E-2</v>
          </cell>
          <cell r="X11">
            <v>7.72769055507882E-2</v>
          </cell>
          <cell r="Y11">
            <v>6.7141030688706999E-2</v>
          </cell>
          <cell r="Z11">
            <v>0.104599344426042</v>
          </cell>
        </row>
        <row r="12">
          <cell r="A12">
            <v>11</v>
          </cell>
          <cell r="B12">
            <v>2.3008064136065501E-2</v>
          </cell>
          <cell r="C12">
            <v>0</v>
          </cell>
          <cell r="D12">
            <v>1.04339950653306E-2</v>
          </cell>
          <cell r="E12">
            <v>8.3201780204359296E-2</v>
          </cell>
          <cell r="F12">
            <v>7.3323367201982695E-2</v>
          </cell>
          <cell r="G12">
            <v>1.1397335723487501E-2</v>
          </cell>
          <cell r="H12">
            <v>2.0587954914525301E-3</v>
          </cell>
          <cell r="I12">
            <v>4.3117617425254698E-3</v>
          </cell>
          <cell r="J12">
            <v>2.5624685875131E-2</v>
          </cell>
          <cell r="K12">
            <v>2.72873339876595E-2</v>
          </cell>
          <cell r="L12">
            <v>3.13605291436162E-2</v>
          </cell>
          <cell r="M12">
            <v>2.4398190172403101E-3</v>
          </cell>
          <cell r="N12">
            <v>7.8004931547001298E-3</v>
          </cell>
          <cell r="O12">
            <v>7.2436426395475397E-3</v>
          </cell>
          <cell r="P12">
            <v>2.0587954914525301E-3</v>
          </cell>
          <cell r="Q12">
            <v>2.21673730481813E-2</v>
          </cell>
          <cell r="R12">
            <v>9.5499814562045905E-3</v>
          </cell>
          <cell r="S12">
            <v>3.1460053854577397E-2</v>
          </cell>
          <cell r="T12">
            <v>1.4537925793789999E-2</v>
          </cell>
          <cell r="U12">
            <v>0</v>
          </cell>
          <cell r="V12">
            <v>0.19241288001974099</v>
          </cell>
          <cell r="W12">
            <v>0.13494672647125999</v>
          </cell>
          <cell r="X12">
            <v>0.126999385581269</v>
          </cell>
          <cell r="Y12">
            <v>6.6779617456282997E-2</v>
          </cell>
          <cell r="Z12">
            <v>8.9595657444140997E-2</v>
          </cell>
        </row>
        <row r="13">
          <cell r="A13">
            <v>12</v>
          </cell>
          <cell r="B13">
            <v>1.49382238409959E-2</v>
          </cell>
          <cell r="C13">
            <v>0</v>
          </cell>
          <cell r="D13">
            <v>2.52161650477657E-2</v>
          </cell>
          <cell r="E13">
            <v>1.7925044469219501E-2</v>
          </cell>
          <cell r="F13">
            <v>5.94472767897E-2</v>
          </cell>
          <cell r="G13">
            <v>1.70569503615914E-2</v>
          </cell>
          <cell r="H13">
            <v>3.4742078526803998E-3</v>
          </cell>
          <cell r="I13">
            <v>1.0792799763746501E-2</v>
          </cell>
          <cell r="J13">
            <v>4.4456857416916302E-2</v>
          </cell>
          <cell r="K13">
            <v>9.8192615247963105E-2</v>
          </cell>
          <cell r="L13">
            <v>2.4592565799564502E-2</v>
          </cell>
          <cell r="M13">
            <v>2.3558270130191201E-2</v>
          </cell>
          <cell r="N13">
            <v>3.5946467530029599E-2</v>
          </cell>
          <cell r="O13">
            <v>1.6492643406078901E-2</v>
          </cell>
          <cell r="P13">
            <v>3.4742078526803998E-3</v>
          </cell>
          <cell r="Q13">
            <v>2.51104004175642E-2</v>
          </cell>
          <cell r="R13">
            <v>1.8650745503286201E-2</v>
          </cell>
          <cell r="S13">
            <v>4.1048351834512602E-2</v>
          </cell>
          <cell r="T13">
            <v>3.2238066567617199E-2</v>
          </cell>
          <cell r="U13">
            <v>0</v>
          </cell>
          <cell r="V13">
            <v>9.3844132237837594E-2</v>
          </cell>
          <cell r="W13">
            <v>0.11682298617963</v>
          </cell>
          <cell r="X13">
            <v>4.2752261234058002E-2</v>
          </cell>
          <cell r="Y13">
            <v>9.3291500598646104E-2</v>
          </cell>
          <cell r="Z13">
            <v>0.14067725991772301</v>
          </cell>
        </row>
        <row r="14">
          <cell r="A14">
            <v>13</v>
          </cell>
          <cell r="B14">
            <v>1.2158159094081401E-2</v>
          </cell>
          <cell r="C14">
            <v>0</v>
          </cell>
          <cell r="D14">
            <v>2.5715106544985301E-2</v>
          </cell>
          <cell r="E14">
            <v>1.6310581235704599E-2</v>
          </cell>
          <cell r="F14">
            <v>9.0066017788393002E-2</v>
          </cell>
          <cell r="G14">
            <v>2.5899740699792902E-2</v>
          </cell>
          <cell r="H14">
            <v>3.2731942964293898E-3</v>
          </cell>
          <cell r="I14">
            <v>9.9960931412842596E-3</v>
          </cell>
          <cell r="J14">
            <v>3.1050295082306199E-2</v>
          </cell>
          <cell r="K14">
            <v>0.10105248853606499</v>
          </cell>
          <cell r="L14">
            <v>3.0887817026075501E-2</v>
          </cell>
          <cell r="M14">
            <v>6.9163954390932501E-3</v>
          </cell>
          <cell r="N14">
            <v>1.19731556709642E-2</v>
          </cell>
          <cell r="O14">
            <v>7.8406740180601703E-3</v>
          </cell>
          <cell r="P14">
            <v>3.2731942964293898E-3</v>
          </cell>
          <cell r="Q14">
            <v>2.05693526504971E-2</v>
          </cell>
          <cell r="R14">
            <v>3.28187210170535E-2</v>
          </cell>
          <cell r="S14">
            <v>8.1391535927221606E-2</v>
          </cell>
          <cell r="T14">
            <v>2.5974332898335201E-2</v>
          </cell>
          <cell r="U14">
            <v>0</v>
          </cell>
          <cell r="V14">
            <v>9.9342776262546797E-2</v>
          </cell>
          <cell r="W14">
            <v>9.0351092923415893E-2</v>
          </cell>
          <cell r="X14">
            <v>4.5703230876148103E-2</v>
          </cell>
          <cell r="Y14">
            <v>8.9239226043164394E-2</v>
          </cell>
          <cell r="Z14">
            <v>0.13819681853195101</v>
          </cell>
        </row>
        <row r="15">
          <cell r="A15">
            <v>14</v>
          </cell>
          <cell r="B15">
            <v>4.3061539094229597E-3</v>
          </cell>
          <cell r="C15">
            <v>0</v>
          </cell>
          <cell r="D15">
            <v>1.0549665828798099E-2</v>
          </cell>
          <cell r="E15">
            <v>1.9882781490791101E-2</v>
          </cell>
          <cell r="F15">
            <v>7.0381701649857298E-2</v>
          </cell>
          <cell r="G15">
            <v>1.9903468576192601E-2</v>
          </cell>
          <cell r="H15">
            <v>0</v>
          </cell>
          <cell r="I15">
            <v>1.25443494970919E-2</v>
          </cell>
          <cell r="J15">
            <v>2.8476146918185001E-2</v>
          </cell>
          <cell r="K15">
            <v>5.3954660389091601E-2</v>
          </cell>
          <cell r="L15">
            <v>3.7683146131826502E-2</v>
          </cell>
          <cell r="M15">
            <v>2.96159305512111E-2</v>
          </cell>
          <cell r="N15">
            <v>1.0704943590305899E-2</v>
          </cell>
          <cell r="O15">
            <v>1.3102900802933E-2</v>
          </cell>
          <cell r="P15">
            <v>0</v>
          </cell>
          <cell r="Q15">
            <v>2.7954981911262299E-2</v>
          </cell>
          <cell r="R15">
            <v>3.3526038934091597E-2</v>
          </cell>
          <cell r="S15">
            <v>8.1407170442890503E-2</v>
          </cell>
          <cell r="T15">
            <v>2.3076319144401999E-2</v>
          </cell>
          <cell r="U15">
            <v>0</v>
          </cell>
          <cell r="V15">
            <v>0.13005721349944399</v>
          </cell>
          <cell r="W15">
            <v>6.42825008443072E-2</v>
          </cell>
          <cell r="X15">
            <v>0.115863131252079</v>
          </cell>
          <cell r="Y15">
            <v>9.0518460731300904E-2</v>
          </cell>
          <cell r="Z15">
            <v>0.122208333904512</v>
          </cell>
        </row>
        <row r="16">
          <cell r="A16">
            <v>15</v>
          </cell>
          <cell r="B16">
            <v>0</v>
          </cell>
          <cell r="C16">
            <v>3.5684364673862399E-3</v>
          </cell>
          <cell r="D16">
            <v>1.8695433337171601E-2</v>
          </cell>
          <cell r="E16">
            <v>4.1421531628269004E-3</v>
          </cell>
          <cell r="F16">
            <v>5.6785339219151201E-2</v>
          </cell>
          <cell r="G16">
            <v>3.00554307981701E-2</v>
          </cell>
          <cell r="H16">
            <v>0</v>
          </cell>
          <cell r="I16">
            <v>3.5379196218840699E-3</v>
          </cell>
          <cell r="J16">
            <v>2.5375774263231801E-2</v>
          </cell>
          <cell r="K16">
            <v>4.6816909913051402E-2</v>
          </cell>
          <cell r="L16">
            <v>4.00604803188725E-2</v>
          </cell>
          <cell r="M16">
            <v>2.9010940899449399E-2</v>
          </cell>
          <cell r="N16">
            <v>0</v>
          </cell>
          <cell r="O16">
            <v>4.4985899182921601E-3</v>
          </cell>
          <cell r="P16">
            <v>0</v>
          </cell>
          <cell r="Q16">
            <v>8.2508191738560901E-2</v>
          </cell>
          <cell r="R16">
            <v>5.83091470378925E-2</v>
          </cell>
          <cell r="S16">
            <v>6.0200784567753199E-2</v>
          </cell>
          <cell r="T16">
            <v>1.57190236725273E-2</v>
          </cell>
          <cell r="U16">
            <v>0</v>
          </cell>
          <cell r="V16">
            <v>0.13311651453680101</v>
          </cell>
          <cell r="W16">
            <v>9.8994612352649405E-2</v>
          </cell>
          <cell r="X16">
            <v>8.3482289446990002E-2</v>
          </cell>
          <cell r="Y16">
            <v>7.9909377175596694E-2</v>
          </cell>
          <cell r="Z16">
            <v>0.12521265155174</v>
          </cell>
        </row>
        <row r="17">
          <cell r="A17">
            <v>16</v>
          </cell>
          <cell r="B17">
            <v>0</v>
          </cell>
          <cell r="C17">
            <v>6.2069435918423004E-3</v>
          </cell>
          <cell r="D17">
            <v>3.3409372813233397E-2</v>
          </cell>
          <cell r="E17">
            <v>1.6112791053108901E-2</v>
          </cell>
          <cell r="F17">
            <v>5.4583715425404203E-2</v>
          </cell>
          <cell r="G17">
            <v>3.7619585344842797E-2</v>
          </cell>
          <cell r="H17">
            <v>0</v>
          </cell>
          <cell r="I17">
            <v>1.7112672320366201E-2</v>
          </cell>
          <cell r="J17">
            <v>8.4295194860640604E-3</v>
          </cell>
          <cell r="K17">
            <v>3.5795143072954901E-2</v>
          </cell>
          <cell r="L17">
            <v>6.8490098447127196E-2</v>
          </cell>
          <cell r="M17">
            <v>1.5298840208464301E-2</v>
          </cell>
          <cell r="N17">
            <v>0</v>
          </cell>
          <cell r="O17">
            <v>6.2842461860264098E-3</v>
          </cell>
          <cell r="P17">
            <v>0</v>
          </cell>
          <cell r="Q17">
            <v>2.3516156494807299E-2</v>
          </cell>
          <cell r="R17">
            <v>7.0252900741953297E-2</v>
          </cell>
          <cell r="S17">
            <v>8.7097287588386404E-2</v>
          </cell>
          <cell r="T17">
            <v>1.0101882798151799E-2</v>
          </cell>
          <cell r="U17">
            <v>0</v>
          </cell>
          <cell r="V17">
            <v>9.5258521600517301E-2</v>
          </cell>
          <cell r="W17">
            <v>0.11423150863843801</v>
          </cell>
          <cell r="X17">
            <v>0.13826503674399401</v>
          </cell>
          <cell r="Y17">
            <v>7.9268000010104894E-2</v>
          </cell>
          <cell r="Z17">
            <v>8.2665777434210594E-2</v>
          </cell>
        </row>
        <row r="18">
          <cell r="A18">
            <v>17</v>
          </cell>
          <cell r="B18">
            <v>6.47025965141311E-3</v>
          </cell>
          <cell r="C18">
            <v>1.0951866891777301E-2</v>
          </cell>
          <cell r="D18">
            <v>3.4358465816015898E-2</v>
          </cell>
          <cell r="E18">
            <v>4.1543912282133201E-2</v>
          </cell>
          <cell r="F18">
            <v>3.8824696069139901E-2</v>
          </cell>
          <cell r="G18">
            <v>2.8603706795373E-2</v>
          </cell>
          <cell r="H18">
            <v>0</v>
          </cell>
          <cell r="I18">
            <v>3.4896346553358101E-3</v>
          </cell>
          <cell r="J18">
            <v>6.8057290261032202E-3</v>
          </cell>
          <cell r="K18">
            <v>3.7477169881189203E-2</v>
          </cell>
          <cell r="L18">
            <v>6.3297014353946801E-2</v>
          </cell>
          <cell r="M18">
            <v>2.1702263869100999E-2</v>
          </cell>
          <cell r="N18">
            <v>0</v>
          </cell>
          <cell r="O18">
            <v>1.26718927502212E-3</v>
          </cell>
          <cell r="P18">
            <v>0</v>
          </cell>
          <cell r="Q18">
            <v>2.70907995405732E-2</v>
          </cell>
          <cell r="R18">
            <v>8.9738214637636496E-2</v>
          </cell>
          <cell r="S18">
            <v>4.6221026931694699E-2</v>
          </cell>
          <cell r="T18">
            <v>2.5681137771529298E-2</v>
          </cell>
          <cell r="U18">
            <v>0</v>
          </cell>
          <cell r="V18">
            <v>9.0970884145384706E-2</v>
          </cell>
          <cell r="W18">
            <v>0.114748413659785</v>
          </cell>
          <cell r="X18">
            <v>0.10801674522528799</v>
          </cell>
          <cell r="Y18">
            <v>8.8014422986399193E-2</v>
          </cell>
          <cell r="Z18">
            <v>0.114726446535156</v>
          </cell>
        </row>
        <row r="19">
          <cell r="A19">
            <v>18</v>
          </cell>
          <cell r="B19">
            <v>0</v>
          </cell>
          <cell r="C19">
            <v>6.0180783072349298E-3</v>
          </cell>
          <cell r="D19">
            <v>1.8543504688082999E-2</v>
          </cell>
          <cell r="E19">
            <v>1.45156048770506E-2</v>
          </cell>
          <cell r="F19">
            <v>5.3979153376743701E-2</v>
          </cell>
          <cell r="G19">
            <v>8.8586112682498205E-3</v>
          </cell>
          <cell r="H19">
            <v>0</v>
          </cell>
          <cell r="I19">
            <v>8.0762610883092795E-3</v>
          </cell>
          <cell r="J19">
            <v>1.6970980826402501E-3</v>
          </cell>
          <cell r="K19">
            <v>4.5393762863642301E-2</v>
          </cell>
          <cell r="L19">
            <v>5.54325192879409E-2</v>
          </cell>
          <cell r="M19">
            <v>1.00357473851449E-2</v>
          </cell>
          <cell r="N19">
            <v>0</v>
          </cell>
          <cell r="O19">
            <v>0</v>
          </cell>
          <cell r="P19">
            <v>0</v>
          </cell>
          <cell r="Q19">
            <v>6.6670678718871404E-2</v>
          </cell>
          <cell r="R19">
            <v>4.5432278564808602E-2</v>
          </cell>
          <cell r="S19">
            <v>4.30340743593755E-2</v>
          </cell>
          <cell r="T19">
            <v>2.4235403151065801E-2</v>
          </cell>
          <cell r="U19">
            <v>0</v>
          </cell>
          <cell r="V19">
            <v>0.10715429149164001</v>
          </cell>
          <cell r="W19">
            <v>0.18790065356330399</v>
          </cell>
          <cell r="X19">
            <v>0.14678995703091999</v>
          </cell>
          <cell r="Y19">
            <v>7.0820745519540707E-2</v>
          </cell>
          <cell r="Z19">
            <v>8.54115763754318E-2</v>
          </cell>
        </row>
        <row r="20">
          <cell r="A20">
            <v>19</v>
          </cell>
          <cell r="B20">
            <v>0</v>
          </cell>
          <cell r="C20">
            <v>1.4213037160943401E-2</v>
          </cell>
          <cell r="D20">
            <v>2.0033237149542301E-2</v>
          </cell>
          <cell r="E20">
            <v>2.5312974455087799E-2</v>
          </cell>
          <cell r="F20">
            <v>2.8918234784474101E-2</v>
          </cell>
          <cell r="G20">
            <v>1.1922380507486599E-2</v>
          </cell>
          <cell r="H20">
            <v>0</v>
          </cell>
          <cell r="I20">
            <v>1.28762405729078E-2</v>
          </cell>
          <cell r="J20">
            <v>1.7069395495535E-2</v>
          </cell>
          <cell r="K20">
            <v>3.9325405096798001E-2</v>
          </cell>
          <cell r="L20">
            <v>4.9052427926342103E-2</v>
          </cell>
          <cell r="M20">
            <v>2.2636335193041299E-2</v>
          </cell>
          <cell r="N20">
            <v>0</v>
          </cell>
          <cell r="O20">
            <v>1.35150483174508E-2</v>
          </cell>
          <cell r="P20">
            <v>0</v>
          </cell>
          <cell r="Q20">
            <v>4.4410192899921701E-2</v>
          </cell>
          <cell r="R20">
            <v>8.2880953303066801E-2</v>
          </cell>
          <cell r="S20">
            <v>7.0841951218238497E-2</v>
          </cell>
          <cell r="T20">
            <v>3.0608812500788701E-2</v>
          </cell>
          <cell r="U20">
            <v>0</v>
          </cell>
          <cell r="V20">
            <v>9.1896062324659605E-2</v>
          </cell>
          <cell r="W20">
            <v>9.3837289401230803E-2</v>
          </cell>
          <cell r="X20">
            <v>0.14700584979053799</v>
          </cell>
          <cell r="Y20">
            <v>8.5934436915776999E-2</v>
          </cell>
          <cell r="Z20">
            <v>9.7709734986168598E-2</v>
          </cell>
        </row>
        <row r="21">
          <cell r="A21">
            <v>20</v>
          </cell>
          <cell r="B21">
            <v>0</v>
          </cell>
          <cell r="C21">
            <v>1.19053288366358E-2</v>
          </cell>
          <cell r="D21">
            <v>3.0397925015597502E-2</v>
          </cell>
          <cell r="E21">
            <v>2.2532793229362798E-2</v>
          </cell>
          <cell r="F21">
            <v>4.9912235509959997E-2</v>
          </cell>
          <cell r="G21">
            <v>4.8570634179614797E-2</v>
          </cell>
          <cell r="H21">
            <v>2.65903876437346E-2</v>
          </cell>
          <cell r="I21">
            <v>9.2634950229909703E-3</v>
          </cell>
          <cell r="J21">
            <v>0</v>
          </cell>
          <cell r="K21">
            <v>5.1016447002899097E-2</v>
          </cell>
          <cell r="L21">
            <v>5.7558256716785501E-2</v>
          </cell>
          <cell r="M21">
            <v>3.1707537644448197E-2</v>
          </cell>
          <cell r="N21">
            <v>4.3421254960854299E-4</v>
          </cell>
          <cell r="O21">
            <v>1.0593070525706599E-2</v>
          </cell>
          <cell r="P21">
            <v>4.3421254960854299E-4</v>
          </cell>
          <cell r="Q21">
            <v>2.62781169862891E-2</v>
          </cell>
          <cell r="R21">
            <v>3.82616137025166E-2</v>
          </cell>
          <cell r="S21">
            <v>4.6989718879442997E-2</v>
          </cell>
          <cell r="T21">
            <v>8.6407736166810703E-2</v>
          </cell>
          <cell r="U21">
            <v>0</v>
          </cell>
          <cell r="V21">
            <v>0.113018006512226</v>
          </cell>
          <cell r="W21">
            <v>5.0073862633300201E-2</v>
          </cell>
          <cell r="X21">
            <v>7.5469043355032697E-2</v>
          </cell>
          <cell r="Y21">
            <v>8.1201995902559998E-2</v>
          </cell>
          <cell r="Z21">
            <v>0.131383369434867</v>
          </cell>
        </row>
        <row r="22">
          <cell r="A22">
            <v>21</v>
          </cell>
          <cell r="B22">
            <v>0</v>
          </cell>
          <cell r="C22">
            <v>4.4421664695564198E-3</v>
          </cell>
          <cell r="D22">
            <v>6.4196872440524896E-2</v>
          </cell>
          <cell r="E22">
            <v>1.22996791403107E-2</v>
          </cell>
          <cell r="F22">
            <v>3.6312728242405702E-2</v>
          </cell>
          <cell r="G22">
            <v>9.8065664550112397E-3</v>
          </cell>
          <cell r="H22">
            <v>1.0432701714772501E-2</v>
          </cell>
          <cell r="I22">
            <v>6.4881881037763701E-3</v>
          </cell>
          <cell r="J22">
            <v>0</v>
          </cell>
          <cell r="K22">
            <v>4.3002817262355102E-2</v>
          </cell>
          <cell r="L22">
            <v>7.2966229214681599E-2</v>
          </cell>
          <cell r="M22">
            <v>3.4147228364481301E-2</v>
          </cell>
          <cell r="N22">
            <v>5.95659649772904E-4</v>
          </cell>
          <cell r="O22">
            <v>7.8395043557611798E-3</v>
          </cell>
          <cell r="P22">
            <v>5.95659649772904E-4</v>
          </cell>
          <cell r="Q22">
            <v>2.4687668286837799E-2</v>
          </cell>
          <cell r="R22">
            <v>7.3569854080701394E-2</v>
          </cell>
          <cell r="S22">
            <v>5.2002818993923901E-2</v>
          </cell>
          <cell r="T22">
            <v>3.6426665466112298E-2</v>
          </cell>
          <cell r="U22">
            <v>0</v>
          </cell>
          <cell r="V22">
            <v>0.11951391402068499</v>
          </cell>
          <cell r="W22">
            <v>0.11405323881276699</v>
          </cell>
          <cell r="X22">
            <v>0.102611032517129</v>
          </cell>
          <cell r="Y22">
            <v>8.01820225069306E-2</v>
          </cell>
          <cell r="Z22">
            <v>9.3826784251728496E-2</v>
          </cell>
        </row>
        <row r="23">
          <cell r="A23">
            <v>22</v>
          </cell>
          <cell r="B23">
            <v>0</v>
          </cell>
          <cell r="C23">
            <v>2.0595633384946601E-2</v>
          </cell>
          <cell r="D23">
            <v>4.3614324223971997E-2</v>
          </cell>
          <cell r="E23">
            <v>5.3453513575298303E-2</v>
          </cell>
          <cell r="F23">
            <v>4.7134253569803199E-2</v>
          </cell>
          <cell r="G23">
            <v>8.1466698756381493E-3</v>
          </cell>
          <cell r="H23">
            <v>0</v>
          </cell>
          <cell r="I23">
            <v>9.0412061757082201E-3</v>
          </cell>
          <cell r="J23">
            <v>0</v>
          </cell>
          <cell r="K23">
            <v>1.1266897684215901E-2</v>
          </cell>
          <cell r="L23">
            <v>6.2967546081043504E-2</v>
          </cell>
          <cell r="M23">
            <v>1.46235386578121E-2</v>
          </cell>
          <cell r="N23">
            <v>0</v>
          </cell>
          <cell r="O23">
            <v>1.85154815125614E-2</v>
          </cell>
          <cell r="P23">
            <v>0</v>
          </cell>
          <cell r="Q23">
            <v>7.9328331029547394E-2</v>
          </cell>
          <cell r="R23">
            <v>4.8288631366560301E-2</v>
          </cell>
          <cell r="S23">
            <v>4.4197902667350998E-2</v>
          </cell>
          <cell r="T23">
            <v>4.25224219783309E-2</v>
          </cell>
          <cell r="U23">
            <v>0</v>
          </cell>
          <cell r="V23">
            <v>9.8514714767161393E-2</v>
          </cell>
          <cell r="W23">
            <v>0.140276780890432</v>
          </cell>
          <cell r="X23">
            <v>7.8668787995606795E-2</v>
          </cell>
          <cell r="Y23">
            <v>8.8243166204134596E-2</v>
          </cell>
          <cell r="Z23">
            <v>9.0600198359874803E-2</v>
          </cell>
        </row>
        <row r="24">
          <cell r="A24">
            <v>23</v>
          </cell>
          <cell r="B24">
            <v>0</v>
          </cell>
          <cell r="C24">
            <v>3.10958114136499E-2</v>
          </cell>
          <cell r="D24">
            <v>2.2171867433477099E-2</v>
          </cell>
          <cell r="E24">
            <v>2.1500517792851399E-2</v>
          </cell>
          <cell r="F24">
            <v>5.9345126024072901E-2</v>
          </cell>
          <cell r="G24">
            <v>2.8863220854456001E-2</v>
          </cell>
          <cell r="H24">
            <v>0</v>
          </cell>
          <cell r="I24">
            <v>1.95804963302013E-2</v>
          </cell>
          <cell r="J24">
            <v>0</v>
          </cell>
          <cell r="K24">
            <v>2.5704154954685501E-2</v>
          </cell>
          <cell r="L24">
            <v>4.1369193844506803E-2</v>
          </cell>
          <cell r="M24">
            <v>2.6052987201033499E-2</v>
          </cell>
          <cell r="N24">
            <v>0</v>
          </cell>
          <cell r="O24">
            <v>1.7411446511372601E-2</v>
          </cell>
          <cell r="P24">
            <v>0</v>
          </cell>
          <cell r="Q24">
            <v>5.0201356755263202E-2</v>
          </cell>
          <cell r="R24">
            <v>4.6752827482718001E-2</v>
          </cell>
          <cell r="S24">
            <v>3.8559281103914399E-2</v>
          </cell>
          <cell r="T24">
            <v>3.7971368799121698E-2</v>
          </cell>
          <cell r="U24">
            <v>0</v>
          </cell>
          <cell r="V24">
            <v>0.1169833167047</v>
          </cell>
          <cell r="W24">
            <v>0.132514855857188</v>
          </cell>
          <cell r="X24">
            <v>9.3470033641291903E-2</v>
          </cell>
          <cell r="Y24">
            <v>8.8774116198042999E-2</v>
          </cell>
          <cell r="Z24">
            <v>0.101678021097451</v>
          </cell>
        </row>
        <row r="25">
          <cell r="A25">
            <v>24</v>
          </cell>
          <cell r="B25">
            <v>0</v>
          </cell>
          <cell r="C25">
            <v>1.55294649824633E-2</v>
          </cell>
          <cell r="D25">
            <v>0</v>
          </cell>
          <cell r="E25">
            <v>2.1676399715297601E-2</v>
          </cell>
          <cell r="F25">
            <v>7.3790014835395698E-2</v>
          </cell>
          <cell r="G25">
            <v>1.6212815037774501E-2</v>
          </cell>
          <cell r="H25">
            <v>0</v>
          </cell>
          <cell r="I25">
            <v>3.2506024199703198E-3</v>
          </cell>
          <cell r="J25">
            <v>0</v>
          </cell>
          <cell r="K25">
            <v>3.9404376012965897E-2</v>
          </cell>
          <cell r="L25">
            <v>5.8846890998430698E-2</v>
          </cell>
          <cell r="M25">
            <v>9.6928515688645307E-3</v>
          </cell>
          <cell r="N25">
            <v>0</v>
          </cell>
          <cell r="O25">
            <v>0</v>
          </cell>
          <cell r="P25">
            <v>0</v>
          </cell>
          <cell r="Q25">
            <v>7.8678513544802001E-2</v>
          </cell>
          <cell r="R25">
            <v>3.3520062085702199E-2</v>
          </cell>
          <cell r="S25">
            <v>0.14268134770565799</v>
          </cell>
          <cell r="T25">
            <v>1.2531836073164999E-2</v>
          </cell>
          <cell r="U25">
            <v>0</v>
          </cell>
          <cell r="V25">
            <v>0.11662078841981501</v>
          </cell>
          <cell r="W25">
            <v>0.12947956059787499</v>
          </cell>
          <cell r="X25">
            <v>7.2798487304159901E-2</v>
          </cell>
          <cell r="Y25">
            <v>7.7971581213072294E-2</v>
          </cell>
          <cell r="Z25">
            <v>9.7314407484585697E-2</v>
          </cell>
        </row>
        <row r="26">
          <cell r="A26">
            <v>25</v>
          </cell>
          <cell r="B26">
            <v>0</v>
          </cell>
          <cell r="C26">
            <v>1.8106443685701998E-2</v>
          </cell>
          <cell r="D26">
            <v>0</v>
          </cell>
          <cell r="E26">
            <v>1.35397101882985E-2</v>
          </cell>
          <cell r="F26">
            <v>5.4528692468600301E-2</v>
          </cell>
          <cell r="G26">
            <v>1.66022995967831E-2</v>
          </cell>
          <cell r="H26">
            <v>0</v>
          </cell>
          <cell r="I26">
            <v>3.1790353808718398E-2</v>
          </cell>
          <cell r="J26">
            <v>0</v>
          </cell>
          <cell r="K26">
            <v>2.3651202681756699E-2</v>
          </cell>
          <cell r="L26">
            <v>9.5757203510755506E-2</v>
          </cell>
          <cell r="M26">
            <v>3.9350895155787199E-2</v>
          </cell>
          <cell r="N26">
            <v>0</v>
          </cell>
          <cell r="O26">
            <v>1.9495348496248E-2</v>
          </cell>
          <cell r="P26">
            <v>0</v>
          </cell>
          <cell r="Q26">
            <v>3.1624433381741798E-2</v>
          </cell>
          <cell r="R26">
            <v>2.6615446528069801E-2</v>
          </cell>
          <cell r="S26">
            <v>7.8433904240383004E-2</v>
          </cell>
          <cell r="T26">
            <v>3.3261917159249199E-2</v>
          </cell>
          <cell r="U26">
            <v>0</v>
          </cell>
          <cell r="V26">
            <v>0.118305487863373</v>
          </cell>
          <cell r="W26">
            <v>9.9434000172557199E-2</v>
          </cell>
          <cell r="X26">
            <v>0.10011457559666399</v>
          </cell>
          <cell r="Y26">
            <v>9.1265285042243294E-2</v>
          </cell>
          <cell r="Z26">
            <v>0.108122800423066</v>
          </cell>
        </row>
        <row r="27">
          <cell r="A27">
            <v>26</v>
          </cell>
          <cell r="B27">
            <v>0</v>
          </cell>
          <cell r="C27">
            <v>2.1389692704611999E-2</v>
          </cell>
          <cell r="D27">
            <v>0</v>
          </cell>
          <cell r="E27">
            <v>7.82604840401133E-3</v>
          </cell>
          <cell r="F27">
            <v>6.1849570032006702E-2</v>
          </cell>
          <cell r="G27">
            <v>2.53704988924679E-2</v>
          </cell>
          <cell r="H27">
            <v>0</v>
          </cell>
          <cell r="I27">
            <v>4.2608864690104097E-3</v>
          </cell>
          <cell r="J27">
            <v>0</v>
          </cell>
          <cell r="K27">
            <v>2.7881842783307301E-2</v>
          </cell>
          <cell r="L27">
            <v>5.3630897672221602E-2</v>
          </cell>
          <cell r="M27">
            <v>2.13496203356188E-2</v>
          </cell>
          <cell r="N27">
            <v>0</v>
          </cell>
          <cell r="O27">
            <v>2.74615092106766E-2</v>
          </cell>
          <cell r="P27">
            <v>0</v>
          </cell>
          <cell r="Q27">
            <v>3.5655882367987099E-2</v>
          </cell>
          <cell r="R27">
            <v>2.6725712307673899E-2</v>
          </cell>
          <cell r="S27">
            <v>7.7603126667905697E-2</v>
          </cell>
          <cell r="T27">
            <v>1.97420362561153E-2</v>
          </cell>
          <cell r="U27">
            <v>0</v>
          </cell>
          <cell r="V27">
            <v>0.103983534519361</v>
          </cell>
          <cell r="W27">
            <v>0.12398859898471901</v>
          </cell>
          <cell r="X27">
            <v>0.15627627084828899</v>
          </cell>
          <cell r="Y27">
            <v>0.102382771268623</v>
          </cell>
          <cell r="Z27">
            <v>0.10262150027539001</v>
          </cell>
        </row>
        <row r="28">
          <cell r="A28">
            <v>27</v>
          </cell>
          <cell r="B28">
            <v>0</v>
          </cell>
          <cell r="C28">
            <v>0</v>
          </cell>
          <cell r="D28">
            <v>2.5104318223884099E-2</v>
          </cell>
          <cell r="E28">
            <v>2.30191252029548E-2</v>
          </cell>
          <cell r="F28">
            <v>0</v>
          </cell>
          <cell r="G28">
            <v>2.0863644776825702E-2</v>
          </cell>
          <cell r="H28">
            <v>0</v>
          </cell>
          <cell r="I28">
            <v>0</v>
          </cell>
          <cell r="J28">
            <v>0</v>
          </cell>
          <cell r="K28">
            <v>5.9142165648670697E-2</v>
          </cell>
          <cell r="L28">
            <v>9.2423252010805507E-2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5.7490411626473899E-2</v>
          </cell>
          <cell r="R28">
            <v>6.4755786410632996E-2</v>
          </cell>
          <cell r="S28">
            <v>8.3895046846555493E-2</v>
          </cell>
          <cell r="T28">
            <v>1.98093336988278E-2</v>
          </cell>
          <cell r="U28">
            <v>0</v>
          </cell>
          <cell r="V28">
            <v>7.8520403262272706E-2</v>
          </cell>
          <cell r="W28">
            <v>0.15415667999784399</v>
          </cell>
          <cell r="X28">
            <v>0.15316094175751299</v>
          </cell>
          <cell r="Y28">
            <v>7.9951923414843196E-2</v>
          </cell>
          <cell r="Z28">
            <v>8.7706967121894699E-2</v>
          </cell>
        </row>
        <row r="29">
          <cell r="A29">
            <v>28</v>
          </cell>
          <cell r="B29">
            <v>0</v>
          </cell>
          <cell r="C29">
            <v>0</v>
          </cell>
          <cell r="D29">
            <v>0</v>
          </cell>
          <cell r="E29">
            <v>3.6799651967663903E-2</v>
          </cell>
          <cell r="F29">
            <v>7.9236951022195995E-2</v>
          </cell>
          <cell r="G29">
            <v>0</v>
          </cell>
          <cell r="H29">
            <v>0</v>
          </cell>
          <cell r="I29">
            <v>7.8366870182150807E-3</v>
          </cell>
          <cell r="J29">
            <v>0</v>
          </cell>
          <cell r="K29">
            <v>5.8824318163533403E-2</v>
          </cell>
          <cell r="L29">
            <v>6.4700343562742596E-2</v>
          </cell>
          <cell r="M29">
            <v>1.79960727173041E-2</v>
          </cell>
          <cell r="N29">
            <v>0</v>
          </cell>
          <cell r="O29">
            <v>0</v>
          </cell>
          <cell r="P29">
            <v>0</v>
          </cell>
          <cell r="Q29">
            <v>4.3866079064126699E-2</v>
          </cell>
          <cell r="R29">
            <v>8.3374304605766905E-2</v>
          </cell>
          <cell r="S29">
            <v>0.100997911210038</v>
          </cell>
          <cell r="T29">
            <v>2.8180786112079501E-2</v>
          </cell>
          <cell r="U29">
            <v>0</v>
          </cell>
          <cell r="V29">
            <v>0.100604586994675</v>
          </cell>
          <cell r="W29">
            <v>8.44067806710945E-2</v>
          </cell>
          <cell r="X29">
            <v>5.2458127359572802E-2</v>
          </cell>
          <cell r="Y29">
            <v>0.10188438055905601</v>
          </cell>
          <cell r="Z29">
            <v>0.13883301897193301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Unnamed: 0</v>
          </cell>
          <cell r="C1" t="str">
            <v>AH</v>
          </cell>
          <cell r="D1" t="str">
            <v>AMA</v>
          </cell>
          <cell r="E1" t="str">
            <v>DEM</v>
          </cell>
          <cell r="F1" t="str">
            <v>EVO</v>
          </cell>
          <cell r="G1" t="str">
            <v>FA</v>
          </cell>
          <cell r="H1" t="str">
            <v>FREVS</v>
          </cell>
          <cell r="I1" t="str">
            <v>IGU</v>
          </cell>
          <cell r="J1" t="str">
            <v>IND</v>
          </cell>
          <cell r="K1" t="str">
            <v>PAVP</v>
          </cell>
          <cell r="L1" t="str">
            <v>PCCH</v>
          </cell>
          <cell r="M1" t="str">
            <v>PDC</v>
          </cell>
          <cell r="N1" t="str">
            <v>PDG</v>
          </cell>
          <cell r="O1" t="str">
            <v>PH</v>
          </cell>
          <cell r="P1" t="str">
            <v>PL</v>
          </cell>
          <cell r="Q1" t="str">
            <v>POP</v>
          </cell>
          <cell r="R1" t="str">
            <v>PPD</v>
          </cell>
          <cell r="S1" t="str">
            <v>PR</v>
          </cell>
          <cell r="T1" t="str">
            <v>PS</v>
          </cell>
          <cell r="U1" t="str">
            <v>PSC</v>
          </cell>
          <cell r="V1" t="str">
            <v>PTR</v>
          </cell>
          <cell r="W1" t="str">
            <v>REP</v>
          </cell>
          <cell r="X1" t="str">
            <v>RN</v>
          </cell>
          <cell r="Y1" t="str">
            <v>UDI</v>
          </cell>
          <cell r="Z1" t="str">
            <v>Votos Blancos</v>
          </cell>
          <cell r="AA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1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1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1</v>
          </cell>
          <cell r="Y3">
            <v>0</v>
          </cell>
          <cell r="Z3">
            <v>0</v>
          </cell>
          <cell r="AA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1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</v>
          </cell>
          <cell r="X6">
            <v>1</v>
          </cell>
          <cell r="Y6">
            <v>1</v>
          </cell>
          <cell r="Z6">
            <v>0</v>
          </cell>
          <cell r="AA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1</v>
          </cell>
          <cell r="X7">
            <v>1</v>
          </cell>
          <cell r="Y7">
            <v>1</v>
          </cell>
          <cell r="Z7">
            <v>0</v>
          </cell>
          <cell r="AA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</v>
          </cell>
          <cell r="T8">
            <v>0</v>
          </cell>
          <cell r="U8">
            <v>0</v>
          </cell>
          <cell r="V8">
            <v>0</v>
          </cell>
          <cell r="W8">
            <v>1</v>
          </cell>
          <cell r="X8">
            <v>2</v>
          </cell>
          <cell r="Y8">
            <v>1</v>
          </cell>
          <cell r="Z8">
            <v>0</v>
          </cell>
          <cell r="AA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</v>
          </cell>
          <cell r="X9">
            <v>1</v>
          </cell>
          <cell r="Y9">
            <v>1</v>
          </cell>
          <cell r="Z9">
            <v>0</v>
          </cell>
          <cell r="AA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2</v>
          </cell>
          <cell r="Y10">
            <v>1</v>
          </cell>
          <cell r="Z10">
            <v>0</v>
          </cell>
          <cell r="AA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1</v>
          </cell>
          <cell r="X11">
            <v>1</v>
          </cell>
          <cell r="Y11">
            <v>1</v>
          </cell>
          <cell r="Z11">
            <v>0</v>
          </cell>
          <cell r="AA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1</v>
          </cell>
          <cell r="Z12">
            <v>0</v>
          </cell>
          <cell r="AA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</v>
          </cell>
          <cell r="X16">
            <v>1</v>
          </cell>
          <cell r="Y16">
            <v>0</v>
          </cell>
          <cell r="Z16">
            <v>0</v>
          </cell>
          <cell r="AA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1</v>
          </cell>
          <cell r="Z17">
            <v>0</v>
          </cell>
          <cell r="AA1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Unnamed: 0</v>
          </cell>
          <cell r="C1" t="str">
            <v>AH</v>
          </cell>
          <cell r="D1" t="str">
            <v>AMA</v>
          </cell>
          <cell r="E1" t="str">
            <v>DEM</v>
          </cell>
          <cell r="F1" t="str">
            <v>EVO</v>
          </cell>
          <cell r="G1" t="str">
            <v>FA</v>
          </cell>
          <cell r="H1" t="str">
            <v>FREVS</v>
          </cell>
          <cell r="I1" t="str">
            <v>IGU</v>
          </cell>
          <cell r="J1" t="str">
            <v>IND</v>
          </cell>
          <cell r="K1" t="str">
            <v>PAVP</v>
          </cell>
          <cell r="L1" t="str">
            <v>PCCH</v>
          </cell>
          <cell r="M1" t="str">
            <v>PDC</v>
          </cell>
          <cell r="N1" t="str">
            <v>PDG</v>
          </cell>
          <cell r="O1" t="str">
            <v>PH</v>
          </cell>
          <cell r="P1" t="str">
            <v>PL</v>
          </cell>
          <cell r="Q1" t="str">
            <v>POP</v>
          </cell>
          <cell r="R1" t="str">
            <v>PPD</v>
          </cell>
          <cell r="S1" t="str">
            <v>PR</v>
          </cell>
          <cell r="T1" t="str">
            <v>PS</v>
          </cell>
          <cell r="U1" t="str">
            <v>PSC</v>
          </cell>
          <cell r="V1" t="str">
            <v>PTR</v>
          </cell>
          <cell r="W1" t="str">
            <v>REP</v>
          </cell>
          <cell r="X1" t="str">
            <v>RN</v>
          </cell>
          <cell r="Y1" t="str">
            <v>UDI</v>
          </cell>
          <cell r="Z1" t="str">
            <v>Votos Blancos</v>
          </cell>
          <cell r="AA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1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1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</v>
          </cell>
          <cell r="X6">
            <v>1</v>
          </cell>
          <cell r="Y6">
            <v>0</v>
          </cell>
          <cell r="Z6">
            <v>0</v>
          </cell>
          <cell r="AA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</v>
          </cell>
          <cell r="T8">
            <v>0</v>
          </cell>
          <cell r="U8">
            <v>0</v>
          </cell>
          <cell r="V8">
            <v>0</v>
          </cell>
          <cell r="W8">
            <v>1</v>
          </cell>
          <cell r="X8">
            <v>1</v>
          </cell>
          <cell r="Y8">
            <v>1</v>
          </cell>
          <cell r="Z8">
            <v>0</v>
          </cell>
          <cell r="AA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1</v>
          </cell>
          <cell r="Y10">
            <v>1</v>
          </cell>
          <cell r="Z10">
            <v>0</v>
          </cell>
          <cell r="AA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1</v>
          </cell>
          <cell r="X11">
            <v>1</v>
          </cell>
          <cell r="Y11">
            <v>0</v>
          </cell>
          <cell r="Z11">
            <v>0</v>
          </cell>
          <cell r="AA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</v>
          </cell>
          <cell r="U14">
            <v>0</v>
          </cell>
          <cell r="V14">
            <v>0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Unnamed: 0</v>
          </cell>
          <cell r="C1" t="str">
            <v>AH</v>
          </cell>
          <cell r="D1" t="str">
            <v>AMA</v>
          </cell>
          <cell r="E1" t="str">
            <v>DEM</v>
          </cell>
          <cell r="F1" t="str">
            <v>EVO</v>
          </cell>
          <cell r="G1" t="str">
            <v>FA</v>
          </cell>
          <cell r="H1" t="str">
            <v>FREVS</v>
          </cell>
          <cell r="I1" t="str">
            <v>IGU</v>
          </cell>
          <cell r="J1" t="str">
            <v>IND</v>
          </cell>
          <cell r="K1" t="str">
            <v>PAVP</v>
          </cell>
          <cell r="L1" t="str">
            <v>PCCH</v>
          </cell>
          <cell r="M1" t="str">
            <v>PDC</v>
          </cell>
          <cell r="N1" t="str">
            <v>PDG</v>
          </cell>
          <cell r="O1" t="str">
            <v>PH</v>
          </cell>
          <cell r="P1" t="str">
            <v>PL</v>
          </cell>
          <cell r="Q1" t="str">
            <v>POP</v>
          </cell>
          <cell r="R1" t="str">
            <v>PPD</v>
          </cell>
          <cell r="S1" t="str">
            <v>PR</v>
          </cell>
          <cell r="T1" t="str">
            <v>PS</v>
          </cell>
          <cell r="U1" t="str">
            <v>PSC</v>
          </cell>
          <cell r="V1" t="str">
            <v>PTR</v>
          </cell>
          <cell r="W1" t="str">
            <v>REP</v>
          </cell>
          <cell r="X1" t="str">
            <v>RN</v>
          </cell>
          <cell r="Y1" t="str">
            <v>UDI</v>
          </cell>
          <cell r="Z1" t="str">
            <v>Votos Blancos</v>
          </cell>
          <cell r="AA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1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1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</v>
          </cell>
          <cell r="X6">
            <v>1</v>
          </cell>
          <cell r="Y6">
            <v>0</v>
          </cell>
          <cell r="Z6">
            <v>0</v>
          </cell>
          <cell r="AA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</v>
          </cell>
          <cell r="T8">
            <v>0</v>
          </cell>
          <cell r="U8">
            <v>0</v>
          </cell>
          <cell r="V8">
            <v>0</v>
          </cell>
          <cell r="W8">
            <v>1</v>
          </cell>
          <cell r="X8">
            <v>1</v>
          </cell>
          <cell r="Y8">
            <v>1</v>
          </cell>
          <cell r="Z8">
            <v>0</v>
          </cell>
          <cell r="AA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1</v>
          </cell>
          <cell r="Y10">
            <v>1</v>
          </cell>
          <cell r="Z10">
            <v>0</v>
          </cell>
          <cell r="AA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1</v>
          </cell>
          <cell r="X11">
            <v>1</v>
          </cell>
          <cell r="Y11">
            <v>0</v>
          </cell>
          <cell r="Z11">
            <v>0</v>
          </cell>
          <cell r="AA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</v>
          </cell>
          <cell r="U14">
            <v>0</v>
          </cell>
          <cell r="V14">
            <v>0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Unnamed: 0</v>
          </cell>
          <cell r="C1" t="str">
            <v>AH</v>
          </cell>
          <cell r="D1" t="str">
            <v>AMA</v>
          </cell>
          <cell r="E1" t="str">
            <v>DEM</v>
          </cell>
          <cell r="F1" t="str">
            <v>EVO</v>
          </cell>
          <cell r="G1" t="str">
            <v>FA</v>
          </cell>
          <cell r="H1" t="str">
            <v>FREVS</v>
          </cell>
          <cell r="I1" t="str">
            <v>IGU</v>
          </cell>
          <cell r="J1" t="str">
            <v>IND</v>
          </cell>
          <cell r="K1" t="str">
            <v>PAVP</v>
          </cell>
          <cell r="L1" t="str">
            <v>PCCH</v>
          </cell>
          <cell r="M1" t="str">
            <v>PDC</v>
          </cell>
          <cell r="N1" t="str">
            <v>PDG</v>
          </cell>
          <cell r="O1" t="str">
            <v>PH</v>
          </cell>
          <cell r="P1" t="str">
            <v>PL</v>
          </cell>
          <cell r="Q1" t="str">
            <v>POP</v>
          </cell>
          <cell r="R1" t="str">
            <v>PPD</v>
          </cell>
          <cell r="S1" t="str">
            <v>PR</v>
          </cell>
          <cell r="T1" t="str">
            <v>PS</v>
          </cell>
          <cell r="U1" t="str">
            <v>PSC</v>
          </cell>
          <cell r="V1" t="str">
            <v>PTR</v>
          </cell>
          <cell r="W1" t="str">
            <v>REP</v>
          </cell>
          <cell r="X1" t="str">
            <v>RN</v>
          </cell>
          <cell r="Y1" t="str">
            <v>UDI</v>
          </cell>
          <cell r="Z1" t="str">
            <v>Votos Blancos</v>
          </cell>
          <cell r="AA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</v>
          </cell>
          <cell r="M3">
            <v>1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1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</v>
          </cell>
          <cell r="X6">
            <v>1</v>
          </cell>
          <cell r="Y6">
            <v>1</v>
          </cell>
          <cell r="Z6">
            <v>0</v>
          </cell>
          <cell r="AA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1</v>
          </cell>
          <cell r="X8">
            <v>1</v>
          </cell>
          <cell r="Y8">
            <v>1</v>
          </cell>
          <cell r="Z8">
            <v>0</v>
          </cell>
          <cell r="AA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1</v>
          </cell>
          <cell r="Y10">
            <v>1</v>
          </cell>
          <cell r="Z10">
            <v>0</v>
          </cell>
          <cell r="AA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1</v>
          </cell>
          <cell r="X11">
            <v>1</v>
          </cell>
          <cell r="Y11">
            <v>0</v>
          </cell>
          <cell r="Z11">
            <v>0</v>
          </cell>
          <cell r="AA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</v>
          </cell>
          <cell r="U14">
            <v>0</v>
          </cell>
          <cell r="V14">
            <v>0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</v>
          </cell>
          <cell r="U16">
            <v>0</v>
          </cell>
          <cell r="V16">
            <v>0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1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1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1</v>
          </cell>
          <cell r="X6">
            <v>1</v>
          </cell>
          <cell r="Y6">
            <v>0</v>
          </cell>
          <cell r="Z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</v>
          </cell>
          <cell r="Y7">
            <v>0</v>
          </cell>
          <cell r="Z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0</v>
          </cell>
          <cell r="Z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0</v>
          </cell>
          <cell r="Z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1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1</v>
          </cell>
          <cell r="Y14">
            <v>0</v>
          </cell>
          <cell r="Z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1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1</v>
          </cell>
          <cell r="S3">
            <v>0</v>
          </cell>
          <cell r="T3">
            <v>0</v>
          </cell>
          <cell r="U3">
            <v>0</v>
          </cell>
          <cell r="V3">
            <v>1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1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1</v>
          </cell>
          <cell r="X6">
            <v>1</v>
          </cell>
          <cell r="Y6">
            <v>0</v>
          </cell>
          <cell r="Z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</v>
          </cell>
          <cell r="Y7">
            <v>0</v>
          </cell>
          <cell r="Z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0</v>
          </cell>
          <cell r="Z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0</v>
          </cell>
          <cell r="Z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1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1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1</v>
          </cell>
          <cell r="T4">
            <v>0</v>
          </cell>
          <cell r="U4">
            <v>0</v>
          </cell>
          <cell r="V4">
            <v>0</v>
          </cell>
          <cell r="W4">
            <v>1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1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</v>
          </cell>
          <cell r="Y7">
            <v>0</v>
          </cell>
          <cell r="Z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1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0</v>
          </cell>
          <cell r="Z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0</v>
          </cell>
          <cell r="Z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0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1</v>
          </cell>
          <cell r="Y14">
            <v>0</v>
          </cell>
          <cell r="Z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1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1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1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</v>
          </cell>
          <cell r="Y7">
            <v>0</v>
          </cell>
          <cell r="Z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1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0</v>
          </cell>
          <cell r="Z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0</v>
          </cell>
          <cell r="Z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0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1</v>
          </cell>
          <cell r="Y14">
            <v>0</v>
          </cell>
          <cell r="Z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375BD-82B4-4DEB-BDA6-85DF9A687CB6}">
  <dimension ref="B2:AA27"/>
  <sheetViews>
    <sheetView tabSelected="1" workbookViewId="0">
      <selection activeCell="D8" sqref="D8"/>
    </sheetView>
  </sheetViews>
  <sheetFormatPr baseColWidth="10" defaultRowHeight="14.5" x14ac:dyDescent="0.35"/>
  <cols>
    <col min="2" max="2" width="14.7265625" customWidth="1"/>
    <col min="3" max="3" width="49.6328125" customWidth="1"/>
    <col min="6" max="6" width="14.7265625" customWidth="1"/>
    <col min="7" max="7" width="49.6328125" customWidth="1"/>
    <col min="10" max="10" width="14.7265625" customWidth="1"/>
    <col min="11" max="11" width="49.6328125" customWidth="1"/>
    <col min="14" max="14" width="14.7265625" customWidth="1"/>
    <col min="15" max="15" width="49.6328125" customWidth="1"/>
    <col min="18" max="18" width="14.7265625" customWidth="1"/>
    <col min="19" max="19" width="49.6328125" customWidth="1"/>
    <col min="22" max="22" width="14.7265625" customWidth="1"/>
    <col min="23" max="23" width="49.6328125" customWidth="1"/>
    <col min="26" max="26" width="14.7265625" customWidth="1"/>
    <col min="27" max="27" width="49.6328125" customWidth="1"/>
  </cols>
  <sheetData>
    <row r="2" spans="2:27" x14ac:dyDescent="0.35">
      <c r="B2" s="2" t="s">
        <v>6</v>
      </c>
      <c r="C2" s="2" t="s">
        <v>7</v>
      </c>
      <c r="F2" s="2" t="s">
        <v>6</v>
      </c>
      <c r="G2" s="2" t="s">
        <v>7</v>
      </c>
      <c r="J2" s="2" t="s">
        <v>6</v>
      </c>
      <c r="K2" s="2" t="s">
        <v>7</v>
      </c>
      <c r="N2" s="2" t="s">
        <v>6</v>
      </c>
      <c r="O2" s="2" t="s">
        <v>7</v>
      </c>
      <c r="R2" s="2" t="s">
        <v>6</v>
      </c>
      <c r="S2" s="2" t="s">
        <v>7</v>
      </c>
      <c r="V2" s="2" t="s">
        <v>6</v>
      </c>
      <c r="W2" s="2" t="s">
        <v>7</v>
      </c>
      <c r="Z2" s="2" t="s">
        <v>6</v>
      </c>
      <c r="AA2" s="2" t="s">
        <v>7</v>
      </c>
    </row>
    <row r="3" spans="2:27" ht="77" customHeight="1" x14ac:dyDescent="0.35">
      <c r="B3" s="7" t="s">
        <v>8</v>
      </c>
      <c r="C3" s="37" t="s">
        <v>30</v>
      </c>
      <c r="D3" s="38"/>
      <c r="E3" s="38"/>
      <c r="F3" s="7" t="s">
        <v>4</v>
      </c>
      <c r="G3" s="37" t="s">
        <v>9</v>
      </c>
      <c r="H3" s="38"/>
      <c r="I3" s="38"/>
      <c r="J3" s="7" t="s">
        <v>5</v>
      </c>
      <c r="K3" s="37" t="s">
        <v>10</v>
      </c>
      <c r="L3" s="38"/>
      <c r="M3" s="38"/>
      <c r="N3" s="37" t="s">
        <v>31</v>
      </c>
      <c r="O3" s="37" t="s">
        <v>59</v>
      </c>
      <c r="P3" s="38"/>
      <c r="Q3" s="38"/>
      <c r="R3" s="37" t="s">
        <v>32</v>
      </c>
      <c r="S3" s="37" t="s">
        <v>36</v>
      </c>
      <c r="T3" s="38"/>
      <c r="U3" s="38"/>
      <c r="V3" s="37" t="s">
        <v>33</v>
      </c>
      <c r="W3" s="37" t="s">
        <v>35</v>
      </c>
      <c r="X3" s="38"/>
      <c r="Y3" s="38"/>
      <c r="Z3" s="37" t="s">
        <v>34</v>
      </c>
      <c r="AA3" s="37" t="s">
        <v>36</v>
      </c>
    </row>
    <row r="4" spans="2:27" x14ac:dyDescent="0.35">
      <c r="B4" s="39" t="s">
        <v>40</v>
      </c>
      <c r="C4" s="39" t="s">
        <v>41</v>
      </c>
      <c r="D4" s="38"/>
      <c r="E4" s="38"/>
      <c r="F4" s="39" t="s">
        <v>40</v>
      </c>
      <c r="G4" s="39" t="s">
        <v>41</v>
      </c>
      <c r="H4" s="38"/>
      <c r="I4" s="38"/>
      <c r="J4" s="39" t="s">
        <v>40</v>
      </c>
      <c r="K4" s="39" t="s">
        <v>41</v>
      </c>
      <c r="L4" s="38"/>
      <c r="M4" s="38"/>
      <c r="N4" s="39" t="s">
        <v>40</v>
      </c>
      <c r="O4" s="39" t="s">
        <v>41</v>
      </c>
      <c r="P4" s="38"/>
      <c r="Q4" s="38"/>
      <c r="R4" s="39" t="s">
        <v>40</v>
      </c>
      <c r="S4" s="39" t="s">
        <v>41</v>
      </c>
      <c r="T4" s="38"/>
      <c r="U4" s="38"/>
      <c r="V4" s="39" t="s">
        <v>40</v>
      </c>
      <c r="W4" s="39" t="s">
        <v>41</v>
      </c>
      <c r="X4" s="38"/>
      <c r="Y4" s="38"/>
      <c r="Z4" s="39" t="s">
        <v>40</v>
      </c>
      <c r="AA4" s="39" t="s">
        <v>41</v>
      </c>
    </row>
    <row r="5" spans="2:27" x14ac:dyDescent="0.35">
      <c r="B5" s="8" t="s">
        <v>11</v>
      </c>
      <c r="C5" s="9" t="s">
        <v>42</v>
      </c>
      <c r="F5" s="8" t="s">
        <v>11</v>
      </c>
      <c r="G5" s="9" t="s">
        <v>42</v>
      </c>
      <c r="J5" s="8" t="s">
        <v>11</v>
      </c>
      <c r="K5" s="9" t="s">
        <v>42</v>
      </c>
      <c r="N5" s="8" t="s">
        <v>11</v>
      </c>
      <c r="O5" s="9" t="s">
        <v>42</v>
      </c>
      <c r="R5" s="8" t="s">
        <v>11</v>
      </c>
      <c r="S5" s="9" t="s">
        <v>42</v>
      </c>
      <c r="V5" s="8" t="s">
        <v>11</v>
      </c>
      <c r="W5" s="9" t="s">
        <v>42</v>
      </c>
      <c r="Z5" s="8" t="s">
        <v>11</v>
      </c>
      <c r="AA5" s="9" t="s">
        <v>42</v>
      </c>
    </row>
    <row r="6" spans="2:27" x14ac:dyDescent="0.35">
      <c r="B6" s="8" t="s">
        <v>12</v>
      </c>
      <c r="C6" s="9" t="s">
        <v>42</v>
      </c>
      <c r="F6" s="8" t="s">
        <v>12</v>
      </c>
      <c r="G6" s="9" t="s">
        <v>42</v>
      </c>
      <c r="J6" s="8" t="s">
        <v>38</v>
      </c>
      <c r="K6" s="9" t="s">
        <v>42</v>
      </c>
      <c r="N6" s="8" t="s">
        <v>12</v>
      </c>
      <c r="O6" s="9" t="s">
        <v>42</v>
      </c>
      <c r="R6" s="8" t="s">
        <v>12</v>
      </c>
      <c r="S6" s="9" t="s">
        <v>42</v>
      </c>
      <c r="V6" s="8" t="s">
        <v>38</v>
      </c>
      <c r="W6" s="9" t="s">
        <v>42</v>
      </c>
      <c r="Z6" s="8" t="s">
        <v>38</v>
      </c>
      <c r="AA6" s="9" t="s">
        <v>42</v>
      </c>
    </row>
    <row r="7" spans="2:27" x14ac:dyDescent="0.35">
      <c r="B7" s="8" t="s">
        <v>38</v>
      </c>
      <c r="C7" s="9" t="s">
        <v>42</v>
      </c>
      <c r="F7" s="8" t="s">
        <v>38</v>
      </c>
      <c r="G7" s="9" t="s">
        <v>42</v>
      </c>
      <c r="J7" s="8" t="s">
        <v>17</v>
      </c>
      <c r="K7" s="9" t="s">
        <v>42</v>
      </c>
      <c r="N7" s="8" t="s">
        <v>38</v>
      </c>
      <c r="O7" s="9" t="s">
        <v>42</v>
      </c>
      <c r="R7" s="8" t="s">
        <v>38</v>
      </c>
      <c r="S7" s="9" t="s">
        <v>42</v>
      </c>
      <c r="V7" s="8" t="s">
        <v>14</v>
      </c>
      <c r="W7" s="9" t="s">
        <v>42</v>
      </c>
      <c r="Z7" s="8" t="s">
        <v>14</v>
      </c>
      <c r="AA7" s="9" t="s">
        <v>42</v>
      </c>
    </row>
    <row r="8" spans="2:27" x14ac:dyDescent="0.35">
      <c r="B8" s="8" t="s">
        <v>17</v>
      </c>
      <c r="C8" s="9" t="s">
        <v>42</v>
      </c>
      <c r="F8" s="8" t="s">
        <v>16</v>
      </c>
      <c r="G8" s="9" t="s">
        <v>42</v>
      </c>
      <c r="J8" s="10" t="s">
        <v>20</v>
      </c>
      <c r="K8" s="9" t="s">
        <v>43</v>
      </c>
      <c r="N8" s="8" t="s">
        <v>16</v>
      </c>
      <c r="O8" s="9" t="s">
        <v>42</v>
      </c>
      <c r="R8" s="8" t="s">
        <v>16</v>
      </c>
      <c r="S8" s="9" t="s">
        <v>42</v>
      </c>
      <c r="V8" s="8" t="s">
        <v>17</v>
      </c>
      <c r="W8" s="9" t="s">
        <v>42</v>
      </c>
      <c r="Z8" s="8" t="s">
        <v>17</v>
      </c>
      <c r="AA8" s="9" t="s">
        <v>42</v>
      </c>
    </row>
    <row r="9" spans="2:27" x14ac:dyDescent="0.35">
      <c r="B9" s="10" t="s">
        <v>23</v>
      </c>
      <c r="C9" s="9" t="s">
        <v>43</v>
      </c>
      <c r="F9" s="8" t="s">
        <v>17</v>
      </c>
      <c r="G9" s="9" t="s">
        <v>42</v>
      </c>
      <c r="J9" s="10" t="s">
        <v>14</v>
      </c>
      <c r="K9" s="9" t="s">
        <v>43</v>
      </c>
      <c r="N9" s="8" t="s">
        <v>17</v>
      </c>
      <c r="O9" s="9" t="s">
        <v>42</v>
      </c>
      <c r="R9" s="8" t="s">
        <v>17</v>
      </c>
      <c r="S9" s="9" t="s">
        <v>42</v>
      </c>
      <c r="V9" s="8" t="s">
        <v>22</v>
      </c>
      <c r="W9" s="9" t="s">
        <v>42</v>
      </c>
      <c r="Z9" s="8" t="s">
        <v>22</v>
      </c>
      <c r="AA9" s="9" t="s">
        <v>42</v>
      </c>
    </row>
    <row r="10" spans="2:27" x14ac:dyDescent="0.35">
      <c r="B10" s="10" t="s">
        <v>13</v>
      </c>
      <c r="C10" s="9" t="s">
        <v>43</v>
      </c>
      <c r="F10" s="8" t="s">
        <v>22</v>
      </c>
      <c r="G10" s="9" t="s">
        <v>42</v>
      </c>
      <c r="J10" s="10" t="s">
        <v>22</v>
      </c>
      <c r="K10" s="9" t="s">
        <v>43</v>
      </c>
      <c r="N10" s="10" t="s">
        <v>21</v>
      </c>
      <c r="O10" s="9" t="s">
        <v>43</v>
      </c>
      <c r="R10" s="10" t="s">
        <v>21</v>
      </c>
      <c r="S10" s="9" t="s">
        <v>43</v>
      </c>
      <c r="V10" s="10" t="s">
        <v>21</v>
      </c>
      <c r="W10" s="9" t="s">
        <v>43</v>
      </c>
      <c r="Z10" s="10" t="s">
        <v>21</v>
      </c>
      <c r="AA10" s="9" t="s">
        <v>43</v>
      </c>
    </row>
    <row r="11" spans="2:27" x14ac:dyDescent="0.35">
      <c r="B11" s="10" t="s">
        <v>19</v>
      </c>
      <c r="C11" s="9" t="s">
        <v>43</v>
      </c>
      <c r="F11" s="10" t="s">
        <v>21</v>
      </c>
      <c r="G11" s="9" t="s">
        <v>43</v>
      </c>
      <c r="J11" s="11" t="s">
        <v>23</v>
      </c>
      <c r="K11" s="9" t="s">
        <v>44</v>
      </c>
      <c r="N11" s="10" t="s">
        <v>20</v>
      </c>
      <c r="O11" s="9" t="s">
        <v>43</v>
      </c>
      <c r="R11" s="10" t="s">
        <v>20</v>
      </c>
      <c r="S11" s="9" t="s">
        <v>43</v>
      </c>
      <c r="V11" s="10" t="s">
        <v>12</v>
      </c>
      <c r="W11" s="9" t="s">
        <v>43</v>
      </c>
      <c r="Z11" s="10" t="s">
        <v>12</v>
      </c>
      <c r="AA11" s="9" t="s">
        <v>43</v>
      </c>
    </row>
    <row r="12" spans="2:27" x14ac:dyDescent="0.35">
      <c r="B12" s="10" t="s">
        <v>15</v>
      </c>
      <c r="C12" s="9" t="s">
        <v>43</v>
      </c>
      <c r="F12" s="10" t="s">
        <v>20</v>
      </c>
      <c r="G12" s="9" t="s">
        <v>43</v>
      </c>
      <c r="J12" s="11" t="s">
        <v>26</v>
      </c>
      <c r="K12" s="9" t="s">
        <v>44</v>
      </c>
      <c r="N12" s="10" t="s">
        <v>14</v>
      </c>
      <c r="O12" s="9" t="s">
        <v>43</v>
      </c>
      <c r="R12" s="10" t="s">
        <v>14</v>
      </c>
      <c r="S12" s="9" t="s">
        <v>43</v>
      </c>
      <c r="V12" s="10" t="s">
        <v>16</v>
      </c>
      <c r="W12" s="9" t="s">
        <v>43</v>
      </c>
      <c r="Z12" s="10" t="s">
        <v>16</v>
      </c>
      <c r="AA12" s="9" t="s">
        <v>43</v>
      </c>
    </row>
    <row r="13" spans="2:27" x14ac:dyDescent="0.35">
      <c r="B13" s="10" t="s">
        <v>26</v>
      </c>
      <c r="C13" s="9" t="s">
        <v>43</v>
      </c>
      <c r="F13" s="10" t="s">
        <v>14</v>
      </c>
      <c r="G13" s="9" t="s">
        <v>43</v>
      </c>
      <c r="J13" s="12" t="s">
        <v>15</v>
      </c>
      <c r="K13" s="9" t="s">
        <v>46</v>
      </c>
      <c r="N13" s="10" t="s">
        <v>22</v>
      </c>
      <c r="O13" s="9" t="s">
        <v>43</v>
      </c>
      <c r="R13" s="10" t="s">
        <v>22</v>
      </c>
      <c r="S13" s="9" t="s">
        <v>43</v>
      </c>
      <c r="V13" s="10" t="s">
        <v>20</v>
      </c>
      <c r="W13" s="9" t="s">
        <v>43</v>
      </c>
      <c r="Z13" s="10" t="s">
        <v>20</v>
      </c>
      <c r="AA13" s="9" t="s">
        <v>43</v>
      </c>
    </row>
    <row r="14" spans="2:27" x14ac:dyDescent="0.35">
      <c r="B14" s="11" t="s">
        <v>21</v>
      </c>
      <c r="C14" s="9" t="s">
        <v>44</v>
      </c>
      <c r="F14" s="11" t="s">
        <v>45</v>
      </c>
      <c r="G14" s="9" t="s">
        <v>44</v>
      </c>
      <c r="J14" s="13" t="s">
        <v>25</v>
      </c>
      <c r="K14" s="9" t="s">
        <v>47</v>
      </c>
      <c r="N14" s="11" t="s">
        <v>23</v>
      </c>
      <c r="O14" s="9" t="s">
        <v>44</v>
      </c>
      <c r="R14" s="11" t="s">
        <v>23</v>
      </c>
      <c r="S14" s="9" t="s">
        <v>44</v>
      </c>
      <c r="V14" s="11" t="s">
        <v>23</v>
      </c>
      <c r="W14" s="9" t="s">
        <v>44</v>
      </c>
      <c r="Z14" s="11" t="s">
        <v>23</v>
      </c>
      <c r="AA14" s="9" t="s">
        <v>44</v>
      </c>
    </row>
    <row r="15" spans="2:27" x14ac:dyDescent="0.35">
      <c r="B15" s="11" t="s">
        <v>24</v>
      </c>
      <c r="C15" s="9" t="s">
        <v>44</v>
      </c>
      <c r="F15" s="12" t="s">
        <v>18</v>
      </c>
      <c r="G15" s="9" t="s">
        <v>46</v>
      </c>
      <c r="J15" s="14" t="s">
        <v>13</v>
      </c>
      <c r="K15" s="9" t="s">
        <v>48</v>
      </c>
      <c r="N15" s="11" t="s">
        <v>24</v>
      </c>
      <c r="O15" s="9" t="s">
        <v>44</v>
      </c>
      <c r="R15" s="11" t="s">
        <v>15</v>
      </c>
      <c r="S15" s="9" t="s">
        <v>44</v>
      </c>
      <c r="V15" s="11" t="s">
        <v>24</v>
      </c>
      <c r="W15" s="9" t="s">
        <v>44</v>
      </c>
      <c r="Z15" s="11" t="s">
        <v>15</v>
      </c>
      <c r="AA15" s="9" t="s">
        <v>44</v>
      </c>
    </row>
    <row r="16" spans="2:27" x14ac:dyDescent="0.35">
      <c r="B16" s="11" t="s">
        <v>16</v>
      </c>
      <c r="C16" s="9" t="s">
        <v>44</v>
      </c>
      <c r="F16" s="13" t="s">
        <v>23</v>
      </c>
      <c r="G16" s="9" t="s">
        <v>47</v>
      </c>
      <c r="J16" s="15" t="s">
        <v>21</v>
      </c>
      <c r="K16" s="9" t="s">
        <v>50</v>
      </c>
      <c r="N16" s="11" t="s">
        <v>27</v>
      </c>
      <c r="O16" s="9" t="s">
        <v>44</v>
      </c>
      <c r="R16" s="11" t="s">
        <v>26</v>
      </c>
      <c r="S16" s="9" t="s">
        <v>44</v>
      </c>
      <c r="V16" s="11" t="s">
        <v>27</v>
      </c>
      <c r="W16" s="9" t="s">
        <v>44</v>
      </c>
      <c r="Z16" s="11" t="s">
        <v>26</v>
      </c>
      <c r="AA16" s="9" t="s">
        <v>44</v>
      </c>
    </row>
    <row r="17" spans="2:27" x14ac:dyDescent="0.35">
      <c r="B17" s="11" t="s">
        <v>27</v>
      </c>
      <c r="C17" s="9" t="s">
        <v>44</v>
      </c>
      <c r="F17" s="13" t="s">
        <v>24</v>
      </c>
      <c r="G17" s="9" t="s">
        <v>47</v>
      </c>
      <c r="J17" s="18" t="s">
        <v>12</v>
      </c>
      <c r="K17" s="9" t="s">
        <v>52</v>
      </c>
      <c r="N17" s="11" t="s">
        <v>15</v>
      </c>
      <c r="O17" s="9" t="s">
        <v>44</v>
      </c>
      <c r="R17" s="12" t="s">
        <v>13</v>
      </c>
      <c r="S17" s="9" t="s">
        <v>46</v>
      </c>
      <c r="V17" s="11" t="s">
        <v>15</v>
      </c>
      <c r="W17" s="9" t="s">
        <v>44</v>
      </c>
      <c r="Z17" s="12" t="s">
        <v>13</v>
      </c>
      <c r="AA17" s="9" t="s">
        <v>46</v>
      </c>
    </row>
    <row r="18" spans="2:27" x14ac:dyDescent="0.35">
      <c r="B18" s="11" t="s">
        <v>20</v>
      </c>
      <c r="C18" s="9" t="s">
        <v>44</v>
      </c>
      <c r="F18" s="13" t="s">
        <v>27</v>
      </c>
      <c r="G18" s="9" t="s">
        <v>47</v>
      </c>
      <c r="J18" s="18" t="s">
        <v>16</v>
      </c>
      <c r="K18" s="9" t="s">
        <v>52</v>
      </c>
      <c r="N18" s="11" t="s">
        <v>26</v>
      </c>
      <c r="O18" s="9" t="s">
        <v>44</v>
      </c>
      <c r="R18" s="12" t="s">
        <v>19</v>
      </c>
      <c r="S18" s="9" t="s">
        <v>46</v>
      </c>
      <c r="V18" s="11" t="s">
        <v>26</v>
      </c>
      <c r="W18" s="9" t="s">
        <v>44</v>
      </c>
      <c r="Z18" s="12" t="s">
        <v>19</v>
      </c>
      <c r="AA18" s="9" t="s">
        <v>46</v>
      </c>
    </row>
    <row r="19" spans="2:27" x14ac:dyDescent="0.35">
      <c r="B19" s="11" t="s">
        <v>14</v>
      </c>
      <c r="C19" s="9" t="s">
        <v>44</v>
      </c>
      <c r="F19" s="13" t="s">
        <v>15</v>
      </c>
      <c r="G19" s="9" t="s">
        <v>47</v>
      </c>
      <c r="J19" s="20" t="s">
        <v>18</v>
      </c>
      <c r="K19" s="9" t="s">
        <v>53</v>
      </c>
      <c r="N19" s="12" t="s">
        <v>13</v>
      </c>
      <c r="O19" s="9" t="s">
        <v>46</v>
      </c>
      <c r="R19" s="13" t="s">
        <v>49</v>
      </c>
      <c r="S19" s="9" t="s">
        <v>47</v>
      </c>
      <c r="V19" s="12" t="s">
        <v>13</v>
      </c>
      <c r="W19" s="9" t="s">
        <v>46</v>
      </c>
      <c r="Z19" s="13" t="s">
        <v>49</v>
      </c>
      <c r="AA19" s="9" t="s">
        <v>47</v>
      </c>
    </row>
    <row r="20" spans="2:27" x14ac:dyDescent="0.35">
      <c r="B20" s="11" t="s">
        <v>22</v>
      </c>
      <c r="C20" s="9" t="s">
        <v>44</v>
      </c>
      <c r="F20" s="13" t="s">
        <v>26</v>
      </c>
      <c r="G20" s="9" t="s">
        <v>47</v>
      </c>
      <c r="J20" s="21" t="s">
        <v>45</v>
      </c>
      <c r="K20" s="9" t="s">
        <v>54</v>
      </c>
      <c r="N20" s="12" t="s">
        <v>19</v>
      </c>
      <c r="O20" s="9" t="s">
        <v>46</v>
      </c>
      <c r="R20" s="13" t="s">
        <v>39</v>
      </c>
      <c r="S20" s="9" t="s">
        <v>47</v>
      </c>
      <c r="V20" s="12" t="s">
        <v>19</v>
      </c>
      <c r="W20" s="9" t="s">
        <v>46</v>
      </c>
      <c r="Z20" s="13" t="s">
        <v>39</v>
      </c>
      <c r="AA20" s="9" t="s">
        <v>47</v>
      </c>
    </row>
    <row r="21" spans="2:27" x14ac:dyDescent="0.35">
      <c r="B21" s="12" t="s">
        <v>45</v>
      </c>
      <c r="C21" s="9" t="s">
        <v>46</v>
      </c>
      <c r="F21" s="14" t="s">
        <v>13</v>
      </c>
      <c r="G21" s="9" t="s">
        <v>48</v>
      </c>
      <c r="J21" s="22" t="s">
        <v>39</v>
      </c>
      <c r="K21" s="9" t="s">
        <v>55</v>
      </c>
      <c r="N21" s="13" t="s">
        <v>49</v>
      </c>
      <c r="O21" s="9" t="s">
        <v>47</v>
      </c>
      <c r="R21" s="13" t="s">
        <v>51</v>
      </c>
      <c r="S21" s="9" t="s">
        <v>47</v>
      </c>
      <c r="V21" s="13" t="s">
        <v>49</v>
      </c>
      <c r="W21" s="9" t="s">
        <v>47</v>
      </c>
      <c r="Z21" s="13" t="s">
        <v>51</v>
      </c>
      <c r="AA21" s="9" t="s">
        <v>47</v>
      </c>
    </row>
    <row r="22" spans="2:27" x14ac:dyDescent="0.35">
      <c r="B22" s="13" t="s">
        <v>18</v>
      </c>
      <c r="C22" s="9" t="s">
        <v>47</v>
      </c>
      <c r="F22" s="14" t="s">
        <v>19</v>
      </c>
      <c r="G22" s="9" t="s">
        <v>48</v>
      </c>
      <c r="J22" s="23" t="s">
        <v>49</v>
      </c>
      <c r="K22" s="9" t="s">
        <v>56</v>
      </c>
      <c r="N22" s="13" t="s">
        <v>39</v>
      </c>
      <c r="O22" s="9" t="s">
        <v>47</v>
      </c>
      <c r="R22" s="13" t="s">
        <v>37</v>
      </c>
      <c r="S22" s="9" t="s">
        <v>47</v>
      </c>
      <c r="V22" s="13" t="s">
        <v>39</v>
      </c>
      <c r="W22" s="9" t="s">
        <v>47</v>
      </c>
      <c r="Z22" s="13" t="s">
        <v>37</v>
      </c>
      <c r="AA22" s="9" t="s">
        <v>47</v>
      </c>
    </row>
    <row r="23" spans="2:27" x14ac:dyDescent="0.35">
      <c r="B23" s="14" t="s">
        <v>25</v>
      </c>
      <c r="C23" s="9" t="s">
        <v>48</v>
      </c>
      <c r="F23" s="15" t="s">
        <v>25</v>
      </c>
      <c r="G23" s="9" t="s">
        <v>50</v>
      </c>
      <c r="J23" s="23" t="s">
        <v>51</v>
      </c>
      <c r="K23" s="9" t="s">
        <v>56</v>
      </c>
      <c r="N23" s="13" t="s">
        <v>51</v>
      </c>
      <c r="O23" s="9" t="s">
        <v>47</v>
      </c>
      <c r="R23" s="14" t="s">
        <v>24</v>
      </c>
      <c r="S23" s="9" t="s">
        <v>48</v>
      </c>
      <c r="V23" s="13" t="s">
        <v>51</v>
      </c>
      <c r="W23" s="9" t="s">
        <v>47</v>
      </c>
      <c r="Z23" s="14" t="s">
        <v>24</v>
      </c>
      <c r="AA23" s="9" t="s">
        <v>48</v>
      </c>
    </row>
    <row r="24" spans="2:27" x14ac:dyDescent="0.35">
      <c r="B24" s="15" t="s">
        <v>49</v>
      </c>
      <c r="C24" s="9" t="s">
        <v>50</v>
      </c>
      <c r="F24" s="18" t="s">
        <v>49</v>
      </c>
      <c r="G24" s="9" t="s">
        <v>52</v>
      </c>
      <c r="J24" s="23" t="s">
        <v>37</v>
      </c>
      <c r="K24" s="9" t="s">
        <v>56</v>
      </c>
      <c r="N24" s="13" t="s">
        <v>37</v>
      </c>
      <c r="O24" s="9" t="s">
        <v>47</v>
      </c>
      <c r="R24" s="14" t="s">
        <v>27</v>
      </c>
      <c r="S24" s="9" t="s">
        <v>48</v>
      </c>
      <c r="V24" s="13" t="s">
        <v>37</v>
      </c>
      <c r="W24" s="9" t="s">
        <v>47</v>
      </c>
      <c r="Z24" s="14" t="s">
        <v>27</v>
      </c>
      <c r="AA24" s="9" t="s">
        <v>48</v>
      </c>
    </row>
    <row r="25" spans="2:27" x14ac:dyDescent="0.35">
      <c r="B25" s="15" t="s">
        <v>39</v>
      </c>
      <c r="C25" s="9" t="s">
        <v>50</v>
      </c>
      <c r="F25" s="18" t="s">
        <v>39</v>
      </c>
      <c r="G25" s="9" t="s">
        <v>52</v>
      </c>
      <c r="J25" s="24" t="s">
        <v>24</v>
      </c>
      <c r="K25" s="9" t="s">
        <v>57</v>
      </c>
      <c r="N25" s="14" t="s">
        <v>45</v>
      </c>
      <c r="O25" s="9" t="s">
        <v>48</v>
      </c>
      <c r="R25" s="15" t="s">
        <v>45</v>
      </c>
      <c r="S25" s="9" t="s">
        <v>50</v>
      </c>
      <c r="V25" s="14" t="s">
        <v>45</v>
      </c>
      <c r="W25" s="9" t="s">
        <v>48</v>
      </c>
      <c r="Z25" s="15" t="s">
        <v>45</v>
      </c>
      <c r="AA25" s="9" t="s">
        <v>50</v>
      </c>
    </row>
    <row r="26" spans="2:27" x14ac:dyDescent="0.35">
      <c r="B26" s="15" t="s">
        <v>51</v>
      </c>
      <c r="C26" s="9" t="s">
        <v>50</v>
      </c>
      <c r="F26" s="18" t="s">
        <v>51</v>
      </c>
      <c r="G26" s="9" t="s">
        <v>52</v>
      </c>
      <c r="J26" s="24" t="s">
        <v>27</v>
      </c>
      <c r="K26" s="9" t="s">
        <v>57</v>
      </c>
      <c r="N26" s="15" t="s">
        <v>18</v>
      </c>
      <c r="O26" s="9" t="s">
        <v>50</v>
      </c>
      <c r="R26" s="18" t="s">
        <v>18</v>
      </c>
      <c r="S26" s="9" t="s">
        <v>52</v>
      </c>
      <c r="V26" s="15" t="s">
        <v>18</v>
      </c>
      <c r="W26" s="9" t="s">
        <v>50</v>
      </c>
      <c r="Z26" s="18" t="s">
        <v>18</v>
      </c>
      <c r="AA26" s="9" t="s">
        <v>52</v>
      </c>
    </row>
    <row r="27" spans="2:27" x14ac:dyDescent="0.35">
      <c r="B27" s="16" t="s">
        <v>37</v>
      </c>
      <c r="C27" s="17" t="s">
        <v>50</v>
      </c>
      <c r="F27" s="19" t="s">
        <v>37</v>
      </c>
      <c r="G27" s="17" t="s">
        <v>52</v>
      </c>
      <c r="J27" s="25" t="s">
        <v>19</v>
      </c>
      <c r="K27" s="17" t="s">
        <v>58</v>
      </c>
      <c r="N27" s="19" t="s">
        <v>25</v>
      </c>
      <c r="O27" s="17" t="s">
        <v>52</v>
      </c>
      <c r="R27" s="26" t="s">
        <v>25</v>
      </c>
      <c r="S27" s="17" t="s">
        <v>53</v>
      </c>
      <c r="V27" s="19" t="s">
        <v>25</v>
      </c>
      <c r="W27" s="17" t="s">
        <v>52</v>
      </c>
      <c r="Z27" s="26" t="s">
        <v>25</v>
      </c>
      <c r="AA27" s="17" t="s">
        <v>53</v>
      </c>
    </row>
  </sheetData>
  <conditionalFormatting sqref="B4:C27">
    <cfRule type="cellIs" dxfId="114" priority="109" operator="equal">
      <formula>"p7"</formula>
    </cfRule>
    <cfRule type="cellIs" dxfId="113" priority="110" operator="equal">
      <formula>"p6"</formula>
    </cfRule>
    <cfRule type="cellIs" dxfId="112" priority="111" operator="equal">
      <formula>"p5"</formula>
    </cfRule>
    <cfRule type="cellIs" dxfId="111" priority="112" operator="equal">
      <formula>"p4"</formula>
    </cfRule>
    <cfRule type="cellIs" dxfId="110" priority="113" operator="equal">
      <formula>"p3"</formula>
    </cfRule>
    <cfRule type="cellIs" dxfId="109" priority="114" operator="equal">
      <formula>"p2"</formula>
    </cfRule>
    <cfRule type="cellIs" dxfId="108" priority="115" operator="equal">
      <formula>"p1"</formula>
    </cfRule>
  </conditionalFormatting>
  <conditionalFormatting sqref="F4:G27">
    <cfRule type="cellIs" dxfId="107" priority="67" operator="equal">
      <formula>"p7"</formula>
    </cfRule>
    <cfRule type="cellIs" dxfId="106" priority="68" operator="equal">
      <formula>"p6"</formula>
    </cfRule>
    <cfRule type="cellIs" dxfId="105" priority="69" operator="equal">
      <formula>"p5"</formula>
    </cfRule>
    <cfRule type="cellIs" dxfId="104" priority="70" operator="equal">
      <formula>"p4"</formula>
    </cfRule>
    <cfRule type="cellIs" dxfId="103" priority="71" operator="equal">
      <formula>"p3"</formula>
    </cfRule>
    <cfRule type="cellIs" dxfId="102" priority="72" operator="equal">
      <formula>"p2"</formula>
    </cfRule>
    <cfRule type="cellIs" dxfId="101" priority="73" operator="equal">
      <formula>"p1"</formula>
    </cfRule>
  </conditionalFormatting>
  <conditionalFormatting sqref="F5:G27">
    <cfRule type="cellIs" dxfId="100" priority="66" operator="equal">
      <formula>"p8"</formula>
    </cfRule>
  </conditionalFormatting>
  <conditionalFormatting sqref="J4:K4">
    <cfRule type="cellIs" dxfId="99" priority="102" operator="equal">
      <formula>"p7"</formula>
    </cfRule>
    <cfRule type="cellIs" dxfId="98" priority="103" operator="equal">
      <formula>"p6"</formula>
    </cfRule>
    <cfRule type="cellIs" dxfId="97" priority="104" operator="equal">
      <formula>"p5"</formula>
    </cfRule>
    <cfRule type="cellIs" dxfId="96" priority="105" operator="equal">
      <formula>"p4"</formula>
    </cfRule>
    <cfRule type="cellIs" dxfId="95" priority="106" operator="equal">
      <formula>"p3"</formula>
    </cfRule>
    <cfRule type="cellIs" dxfId="94" priority="107" operator="equal">
      <formula>"p2"</formula>
    </cfRule>
    <cfRule type="cellIs" dxfId="93" priority="108" operator="equal">
      <formula>"p1"</formula>
    </cfRule>
  </conditionalFormatting>
  <conditionalFormatting sqref="J5:K27">
    <cfRule type="cellIs" dxfId="92" priority="53" operator="equal">
      <formula>"p13"</formula>
    </cfRule>
    <cfRule type="cellIs" dxfId="91" priority="54" operator="equal">
      <formula>"p12"</formula>
    </cfRule>
    <cfRule type="cellIs" dxfId="90" priority="55" operator="equal">
      <formula>"p11"</formula>
    </cfRule>
    <cfRule type="cellIs" dxfId="89" priority="56" operator="equal">
      <formula>"p10"</formula>
    </cfRule>
    <cfRule type="cellIs" dxfId="88" priority="57" operator="equal">
      <formula>"p9"</formula>
    </cfRule>
  </conditionalFormatting>
  <conditionalFormatting sqref="K5:K27">
    <cfRule type="cellIs" dxfId="87" priority="58" operator="equal">
      <formula>"p8"</formula>
    </cfRule>
    <cfRule type="cellIs" dxfId="86" priority="59" operator="equal">
      <formula>"p7"</formula>
    </cfRule>
    <cfRule type="cellIs" dxfId="85" priority="60" operator="equal">
      <formula>"p6"</formula>
    </cfRule>
    <cfRule type="cellIs" dxfId="84" priority="61" operator="equal">
      <formula>"p5"</formula>
    </cfRule>
    <cfRule type="cellIs" dxfId="83" priority="62" operator="equal">
      <formula>"p4"</formula>
    </cfRule>
    <cfRule type="cellIs" dxfId="82" priority="63" operator="equal">
      <formula>"p3"</formula>
    </cfRule>
    <cfRule type="cellIs" dxfId="81" priority="64" operator="equal">
      <formula>"p2"</formula>
    </cfRule>
    <cfRule type="cellIs" dxfId="80" priority="65" operator="equal">
      <formula>"p1"</formula>
    </cfRule>
  </conditionalFormatting>
  <conditionalFormatting sqref="N4:O4">
    <cfRule type="cellIs" dxfId="79" priority="95" operator="equal">
      <formula>"p7"</formula>
    </cfRule>
    <cfRule type="cellIs" dxfId="78" priority="96" operator="equal">
      <formula>"p6"</formula>
    </cfRule>
    <cfRule type="cellIs" dxfId="77" priority="97" operator="equal">
      <formula>"p5"</formula>
    </cfRule>
    <cfRule type="cellIs" dxfId="76" priority="98" operator="equal">
      <formula>"p4"</formula>
    </cfRule>
    <cfRule type="cellIs" dxfId="75" priority="99" operator="equal">
      <formula>"p3"</formula>
    </cfRule>
    <cfRule type="cellIs" dxfId="74" priority="100" operator="equal">
      <formula>"p2"</formula>
    </cfRule>
    <cfRule type="cellIs" dxfId="73" priority="101" operator="equal">
      <formula>"p1"</formula>
    </cfRule>
  </conditionalFormatting>
  <conditionalFormatting sqref="N5:O27">
    <cfRule type="cellIs" dxfId="72" priority="40" operator="equal">
      <formula>"p13"</formula>
    </cfRule>
    <cfRule type="cellIs" dxfId="71" priority="41" operator="equal">
      <formula>"p12"</formula>
    </cfRule>
    <cfRule type="cellIs" dxfId="70" priority="42" operator="equal">
      <formula>"p11"</formula>
    </cfRule>
    <cfRule type="cellIs" dxfId="69" priority="43" operator="equal">
      <formula>"p10"</formula>
    </cfRule>
    <cfRule type="cellIs" dxfId="68" priority="44" operator="equal">
      <formula>"p9"</formula>
    </cfRule>
  </conditionalFormatting>
  <conditionalFormatting sqref="O5:O27">
    <cfRule type="cellIs" dxfId="67" priority="45" operator="equal">
      <formula>"p8"</formula>
    </cfRule>
    <cfRule type="cellIs" dxfId="66" priority="46" operator="equal">
      <formula>"p7"</formula>
    </cfRule>
    <cfRule type="cellIs" dxfId="65" priority="47" operator="equal">
      <formula>"p6"</formula>
    </cfRule>
    <cfRule type="cellIs" dxfId="64" priority="48" operator="equal">
      <formula>"p5"</formula>
    </cfRule>
    <cfRule type="cellIs" dxfId="63" priority="49" operator="equal">
      <formula>"p4"</formula>
    </cfRule>
    <cfRule type="cellIs" dxfId="62" priority="50" operator="equal">
      <formula>"p3"</formula>
    </cfRule>
    <cfRule type="cellIs" dxfId="61" priority="51" operator="equal">
      <formula>"p2"</formula>
    </cfRule>
    <cfRule type="cellIs" dxfId="60" priority="52" operator="equal">
      <formula>"p1"</formula>
    </cfRule>
  </conditionalFormatting>
  <conditionalFormatting sqref="R4:S4">
    <cfRule type="cellIs" dxfId="59" priority="88" operator="equal">
      <formula>"p7"</formula>
    </cfRule>
    <cfRule type="cellIs" dxfId="58" priority="89" operator="equal">
      <formula>"p6"</formula>
    </cfRule>
    <cfRule type="cellIs" dxfId="57" priority="90" operator="equal">
      <formula>"p5"</formula>
    </cfRule>
    <cfRule type="cellIs" dxfId="56" priority="91" operator="equal">
      <formula>"p4"</formula>
    </cfRule>
    <cfRule type="cellIs" dxfId="55" priority="92" operator="equal">
      <formula>"p3"</formula>
    </cfRule>
    <cfRule type="cellIs" dxfId="54" priority="93" operator="equal">
      <formula>"p2"</formula>
    </cfRule>
    <cfRule type="cellIs" dxfId="53" priority="94" operator="equal">
      <formula>"p1"</formula>
    </cfRule>
  </conditionalFormatting>
  <conditionalFormatting sqref="R5:S27">
    <cfRule type="cellIs" dxfId="52" priority="27" operator="equal">
      <formula>"p13"</formula>
    </cfRule>
    <cfRule type="cellIs" dxfId="51" priority="28" operator="equal">
      <formula>"p12"</formula>
    </cfRule>
    <cfRule type="cellIs" dxfId="50" priority="29" operator="equal">
      <formula>"p11"</formula>
    </cfRule>
    <cfRule type="cellIs" dxfId="49" priority="30" operator="equal">
      <formula>"p10"</formula>
    </cfRule>
    <cfRule type="cellIs" dxfId="48" priority="31" operator="equal">
      <formula>"p9"</formula>
    </cfRule>
  </conditionalFormatting>
  <conditionalFormatting sqref="S5:S27">
    <cfRule type="cellIs" dxfId="47" priority="32" operator="equal">
      <formula>"p8"</formula>
    </cfRule>
    <cfRule type="cellIs" dxfId="46" priority="33" operator="equal">
      <formula>"p7"</formula>
    </cfRule>
    <cfRule type="cellIs" dxfId="45" priority="34" operator="equal">
      <formula>"p6"</formula>
    </cfRule>
    <cfRule type="cellIs" dxfId="44" priority="35" operator="equal">
      <formula>"p5"</formula>
    </cfRule>
    <cfRule type="cellIs" dxfId="43" priority="36" operator="equal">
      <formula>"p4"</formula>
    </cfRule>
    <cfRule type="cellIs" dxfId="42" priority="37" operator="equal">
      <formula>"p3"</formula>
    </cfRule>
    <cfRule type="cellIs" dxfId="41" priority="38" operator="equal">
      <formula>"p2"</formula>
    </cfRule>
    <cfRule type="cellIs" dxfId="40" priority="39" operator="equal">
      <formula>"p1"</formula>
    </cfRule>
  </conditionalFormatting>
  <conditionalFormatting sqref="V4:W4">
    <cfRule type="cellIs" dxfId="39" priority="81" operator="equal">
      <formula>"p7"</formula>
    </cfRule>
    <cfRule type="cellIs" dxfId="38" priority="82" operator="equal">
      <formula>"p6"</formula>
    </cfRule>
    <cfRule type="cellIs" dxfId="37" priority="83" operator="equal">
      <formula>"p5"</formula>
    </cfRule>
    <cfRule type="cellIs" dxfId="36" priority="84" operator="equal">
      <formula>"p4"</formula>
    </cfRule>
    <cfRule type="cellIs" dxfId="35" priority="85" operator="equal">
      <formula>"p3"</formula>
    </cfRule>
    <cfRule type="cellIs" dxfId="34" priority="86" operator="equal">
      <formula>"p2"</formula>
    </cfRule>
    <cfRule type="cellIs" dxfId="33" priority="87" operator="equal">
      <formula>"p1"</formula>
    </cfRule>
  </conditionalFormatting>
  <conditionalFormatting sqref="V5:W27">
    <cfRule type="cellIs" dxfId="32" priority="14" operator="equal">
      <formula>"p13"</formula>
    </cfRule>
    <cfRule type="cellIs" dxfId="31" priority="15" operator="equal">
      <formula>"p12"</formula>
    </cfRule>
    <cfRule type="cellIs" dxfId="30" priority="16" operator="equal">
      <formula>"p11"</formula>
    </cfRule>
    <cfRule type="cellIs" dxfId="29" priority="17" operator="equal">
      <formula>"p10"</formula>
    </cfRule>
    <cfRule type="cellIs" dxfId="28" priority="18" operator="equal">
      <formula>"p9"</formula>
    </cfRule>
  </conditionalFormatting>
  <conditionalFormatting sqref="W5:W27">
    <cfRule type="cellIs" dxfId="27" priority="19" operator="equal">
      <formula>"p8"</formula>
    </cfRule>
    <cfRule type="cellIs" dxfId="26" priority="20" operator="equal">
      <formula>"p7"</formula>
    </cfRule>
    <cfRule type="cellIs" dxfId="25" priority="21" operator="equal">
      <formula>"p6"</formula>
    </cfRule>
    <cfRule type="cellIs" dxfId="24" priority="22" operator="equal">
      <formula>"p5"</formula>
    </cfRule>
    <cfRule type="cellIs" dxfId="23" priority="23" operator="equal">
      <formula>"p4"</formula>
    </cfRule>
    <cfRule type="cellIs" dxfId="22" priority="24" operator="equal">
      <formula>"p3"</formula>
    </cfRule>
    <cfRule type="cellIs" dxfId="21" priority="25" operator="equal">
      <formula>"p2"</formula>
    </cfRule>
    <cfRule type="cellIs" dxfId="20" priority="26" operator="equal">
      <formula>"p1"</formula>
    </cfRule>
  </conditionalFormatting>
  <conditionalFormatting sqref="Z4:AA4">
    <cfRule type="cellIs" dxfId="19" priority="74" operator="equal">
      <formula>"p7"</formula>
    </cfRule>
    <cfRule type="cellIs" dxfId="18" priority="75" operator="equal">
      <formula>"p6"</formula>
    </cfRule>
    <cfRule type="cellIs" dxfId="17" priority="76" operator="equal">
      <formula>"p5"</formula>
    </cfRule>
    <cfRule type="cellIs" dxfId="16" priority="77" operator="equal">
      <formula>"p4"</formula>
    </cfRule>
    <cfRule type="cellIs" dxfId="15" priority="78" operator="equal">
      <formula>"p3"</formula>
    </cfRule>
    <cfRule type="cellIs" dxfId="14" priority="79" operator="equal">
      <formula>"p2"</formula>
    </cfRule>
    <cfRule type="cellIs" dxfId="13" priority="80" operator="equal">
      <formula>"p1"</formula>
    </cfRule>
  </conditionalFormatting>
  <conditionalFormatting sqref="Z5:AA27">
    <cfRule type="cellIs" dxfId="12" priority="1" operator="equal">
      <formula>"p13"</formula>
    </cfRule>
    <cfRule type="cellIs" dxfId="11" priority="2" operator="equal">
      <formula>"p12"</formula>
    </cfRule>
    <cfRule type="cellIs" dxfId="10" priority="3" operator="equal">
      <formula>"p11"</formula>
    </cfRule>
    <cfRule type="cellIs" dxfId="9" priority="4" operator="equal">
      <formula>"p10"</formula>
    </cfRule>
    <cfRule type="cellIs" dxfId="8" priority="5" operator="equal">
      <formula>"p9"</formula>
    </cfRule>
  </conditionalFormatting>
  <conditionalFormatting sqref="AA5:AA27">
    <cfRule type="cellIs" dxfId="7" priority="6" operator="equal">
      <formula>"p8"</formula>
    </cfRule>
    <cfRule type="cellIs" dxfId="6" priority="7" operator="equal">
      <formula>"p7"</formula>
    </cfRule>
    <cfRule type="cellIs" dxfId="5" priority="8" operator="equal">
      <formula>"p6"</formula>
    </cfRule>
    <cfRule type="cellIs" dxfId="4" priority="9" operator="equal">
      <formula>"p5"</formula>
    </cfRule>
    <cfRule type="cellIs" dxfId="3" priority="10" operator="equal">
      <formula>"p4"</formula>
    </cfRule>
    <cfRule type="cellIs" dxfId="2" priority="11" operator="equal">
      <formula>"p3"</formula>
    </cfRule>
    <cfRule type="cellIs" dxfId="1" priority="12" operator="equal">
      <formula>"p2"</formula>
    </cfRule>
    <cfRule type="cellIs" dxfId="0" priority="13" operator="equal">
      <formula>"p1"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0051-BCA3-405F-B673-471E1D4EE818}">
  <dimension ref="A1:I23"/>
  <sheetViews>
    <sheetView showGridLines="0" workbookViewId="0">
      <selection activeCell="L23" sqref="L23"/>
    </sheetView>
  </sheetViews>
  <sheetFormatPr baseColWidth="10" defaultRowHeight="14.5" x14ac:dyDescent="0.35"/>
  <cols>
    <col min="1" max="1" width="2.81640625" bestFit="1" customWidth="1"/>
    <col min="2" max="2" width="19.36328125" bestFit="1" customWidth="1"/>
    <col min="3" max="3" width="5.90625" bestFit="1" customWidth="1"/>
    <col min="4" max="4" width="6.36328125" bestFit="1" customWidth="1"/>
    <col min="5" max="7" width="5.90625" bestFit="1" customWidth="1"/>
    <col min="8" max="8" width="6.90625" bestFit="1" customWidth="1"/>
    <col min="9" max="9" width="6.08984375" bestFit="1" customWidth="1"/>
    <col min="11" max="11" width="16.26953125" customWidth="1"/>
    <col min="12" max="12" width="46.54296875" customWidth="1"/>
  </cols>
  <sheetData>
    <row r="1" spans="1:9" x14ac:dyDescent="0.35">
      <c r="A1" s="27">
        <v>15</v>
      </c>
    </row>
    <row r="2" spans="1:9" x14ac:dyDescent="0.35">
      <c r="B2" s="2" t="s">
        <v>0</v>
      </c>
      <c r="C2" s="2" t="s">
        <v>11</v>
      </c>
      <c r="D2" s="2" t="s">
        <v>22</v>
      </c>
      <c r="E2" s="2" t="s">
        <v>23</v>
      </c>
      <c r="F2" s="2" t="s">
        <v>61</v>
      </c>
      <c r="G2" s="2" t="s">
        <v>15</v>
      </c>
      <c r="H2" s="2" t="s">
        <v>60</v>
      </c>
      <c r="I2" s="2" t="s">
        <v>17</v>
      </c>
    </row>
    <row r="3" spans="1:9" x14ac:dyDescent="0.35">
      <c r="B3" s="1" t="s">
        <v>1</v>
      </c>
      <c r="C3" s="3">
        <v>0</v>
      </c>
      <c r="D3" s="3">
        <v>1</v>
      </c>
      <c r="E3" s="3">
        <v>1</v>
      </c>
      <c r="F3" s="3">
        <v>0</v>
      </c>
      <c r="G3" s="3">
        <v>0</v>
      </c>
      <c r="H3" s="3">
        <v>0</v>
      </c>
      <c r="I3" s="3">
        <v>0</v>
      </c>
    </row>
    <row r="4" spans="1:9" x14ac:dyDescent="0.35">
      <c r="B4" s="5" t="s">
        <v>28</v>
      </c>
      <c r="C4" s="6">
        <f>VLOOKUP($A$1,[1]resultados_proyectados_proporci!$A$1:$AA$29,MATCH(C$2,[1]resultados_proyectados_proporci!$A$1:$AA$1,0),FALSE)</f>
        <v>5.6785339219151201E-2</v>
      </c>
      <c r="D4" s="6">
        <f>VLOOKUP($A$1,[1]resultados_proyectados_proporci!$A$1:$AA$29,MATCH(D$2,[1]resultados_proyectados_proporci!$A$1:$AA$1,0),FALSE)</f>
        <v>6.0200784567753199E-2</v>
      </c>
      <c r="E4" s="6">
        <f>VLOOKUP($A$1,[1]resultados_proyectados_proporci!$A$1:$AA$29,MATCH(E$2,[1]resultados_proyectados_proporci!$A$1:$AA$1,0),FALSE)</f>
        <v>8.3482289446990002E-2</v>
      </c>
      <c r="F4" s="6">
        <f>VLOOKUP($A$1,[1]resultados_proyectados_proporci!$A$1:$AA$29,MATCH(F$2,[1]resultados_proyectados_proporci!$A$1:$AA$1,0),FALSE)</f>
        <v>1.8695433337171601E-2</v>
      </c>
      <c r="G4" s="6">
        <f>VLOOKUP($A$1,[1]resultados_proyectados_proporci!$A$1:$AA$29,MATCH(G$2,[1]resultados_proyectados_proporci!$A$1:$AA$1,0),FALSE)</f>
        <v>9.8994612352649405E-2</v>
      </c>
      <c r="H4" s="6">
        <f>VLOOKUP($A$1,[1]resultados_proyectados_proporci!$A$1:$AA$29,MATCH(H$2,[1]resultados_proyectados_proporci!$A$1:$AA$1,0),FALSE)</f>
        <v>0.13311651453680101</v>
      </c>
      <c r="I4" s="6">
        <f>VLOOKUP($A$1,[1]resultados_proyectados_proporci!$A$1:$AA$29,MATCH(I$2,[1]resultados_proyectados_proporci!$A$1:$AA$1,0),FALSE)</f>
        <v>4.6816909913051402E-2</v>
      </c>
    </row>
    <row r="5" spans="1:9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0</v>
      </c>
      <c r="G5" s="4">
        <f>VLOOKUP($A$1,[2]resultados_integracion_partido_!$A$1:$AA$29,MATCH(G$2,[2]resultados_integracion_partido_!$A$1:$AA$1,0),FALSE)</f>
        <v>1</v>
      </c>
      <c r="H5" s="4">
        <f>VLOOKUP($A$1,[2]resultados_integracion_partido_!$A$1:$AA$29,MATCH(H$2,[2]resultados_integracion_partido_!$A$1:$AA$1,0),FALSE)</f>
        <v>1</v>
      </c>
      <c r="I5" s="4">
        <f>VLOOKUP($A$1,[2]resultados_integracion_partido_!$A$1:$AA$29,MATCH(I$2,[2]resultados_integracion_partido_!$A$1:$AA$1,0),FALSE)</f>
        <v>0</v>
      </c>
    </row>
    <row r="6" spans="1:9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1</v>
      </c>
      <c r="G6" s="4">
        <f>VLOOKUP($A$1,[3]resultados_integracion_partido_!$A$1:$AA$29,MATCH(G$2,[3]resultados_integracion_partido_!$A$1:$AA$1,0),FALSE)</f>
        <v>0</v>
      </c>
      <c r="H6" s="4">
        <f>VLOOKUP($A$1,[3]resultados_integracion_partido_!$A$1:$AA$29,MATCH(H$2,[3]resultados_integracion_partido_!$A$1:$AA$1,0),FALSE)</f>
        <v>1</v>
      </c>
      <c r="I6" s="4">
        <f>VLOOKUP($A$1,[3]resultados_integracion_partido_!$A$1:$AA$29,MATCH(I$2,[3]resultados_integracion_partido_!$A$1:$AA$1,0),FALSE)</f>
        <v>0</v>
      </c>
    </row>
    <row r="7" spans="1:9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1</v>
      </c>
      <c r="G7" s="4">
        <f>VLOOKUP($A$1,[4]resultados_integracion_partido_!$A$1:$AA$29,MATCH(G$2,[4]resultados_integracion_partido_!$A$1:$AA$1,0),FALSE)</f>
        <v>0</v>
      </c>
      <c r="H7" s="4">
        <f>VLOOKUP($A$1,[4]resultados_integracion_partido_!$A$1:$AA$29,MATCH(H$2,[4]resultados_integracion_partido_!$A$1:$AA$1,0),FALSE)</f>
        <v>1</v>
      </c>
      <c r="I7" s="4">
        <f>VLOOKUP($A$1,[4]resultados_integracion_partido_!$A$1:$AA$29,MATCH(I$2,[4]resultados_integracion_partido_!$A$1:$AA$1,0),FALSE)</f>
        <v>0</v>
      </c>
    </row>
    <row r="8" spans="1:9" x14ac:dyDescent="0.35">
      <c r="B8" s="1" t="s">
        <v>5</v>
      </c>
      <c r="C8" s="4">
        <f>VLOOKUP($A$1,[5]resultados_integracion_partido_!$A$1:$AA$29,MATCH(C$2,[5]resultados_integracion_partido_!$A$1:$AA$1,0),FALSE)</f>
        <v>0</v>
      </c>
      <c r="D8" s="4">
        <f>VLOOKUP($A$1,[5]resultados_integracion_partido_!$A$1:$AA$29,MATCH(D$2,[5]resultados_integracion_partido_!$A$1:$AA$1,0),FALSE)</f>
        <v>1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0</v>
      </c>
      <c r="H8" s="4">
        <f>VLOOKUP($A$1,[5]resultados_integracion_partido_!$A$1:$AA$29,MATCH(H$2,[5]resultados_integracion_partido_!$A$1:$AA$1,0),FALSE)</f>
        <v>1</v>
      </c>
      <c r="I8" s="4">
        <f>VLOOKUP($A$1,[5]resultados_integracion_partido_!$A$1:$AA$29,MATCH(I$2,[5]resultados_integracion_partido_!$A$1:$AA$1,0),FALSE)</f>
        <v>0</v>
      </c>
    </row>
    <row r="9" spans="1:9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0</v>
      </c>
      <c r="G9" s="4">
        <f>VLOOKUP($A$1,[6]resultados_integracion_partido_!$A$1:$AA$29,MATCH(G$2,[6]resultados_integracion_partido_!$A$1:$AA$1,0),FALSE)</f>
        <v>1</v>
      </c>
      <c r="H9" s="4">
        <f>VLOOKUP($A$1,[6]resultados_integracion_partido_!$A$1:$AA$29,MATCH(H$2,[6]resultados_integracion_partido_!$A$1:$AA$1,0),FALSE)</f>
        <v>1</v>
      </c>
      <c r="I9" s="4">
        <f>VLOOKUP($A$1,[6]resultados_integracion_partido_!$A$1:$AA$29,MATCH(I$2,[6]resultados_integracion_partido_!$A$1:$AA$1,0),FALSE)</f>
        <v>0</v>
      </c>
    </row>
    <row r="10" spans="1:9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0</v>
      </c>
      <c r="H10" s="4">
        <f>VLOOKUP($A$1,[7]resultados_integracion_partido_!$A$1:$AA$29,MATCH(H$2,[7]resultados_integracion_partido_!$A$1:$AA$1,0),FALSE)</f>
        <v>1</v>
      </c>
      <c r="I10" s="4">
        <f>VLOOKUP($A$1,[7]resultados_integracion_partido_!$A$1:$AA$29,MATCH(I$2,[7]resultados_integracion_partido_!$A$1:$AA$1,0),FALSE)</f>
        <v>1</v>
      </c>
    </row>
    <row r="11" spans="1:9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0</v>
      </c>
      <c r="F11" s="4">
        <f>VLOOKUP($A$1,[8]resultados_integracion_partido_!$A$1:$AA$29,MATCH(F$2,[8]resultados_integracion_partido_!$A$1:$AA$1,0),FALSE)</f>
        <v>0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1</v>
      </c>
      <c r="I11" s="4">
        <f>VLOOKUP($A$1,[8]resultados_integracion_partido_!$A$1:$AA$29,MATCH(I$2,[8]resultados_integracion_partido_!$A$1:$AA$1,0),FALSE)</f>
        <v>0</v>
      </c>
    </row>
    <row r="12" spans="1:9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0</v>
      </c>
      <c r="F12" s="4">
        <f>VLOOKUP($A$1,[9]resultados_integracion_partido_!$A$1:$AA$29,MATCH(F$2,[9]resultados_integracion_partido_!$A$1:$AA$1,0),FALSE)</f>
        <v>0</v>
      </c>
      <c r="G12" s="4">
        <f>VLOOKUP($A$1,[9]resultados_integracion_partido_!$A$1:$AA$29,MATCH(G$2,[9]resultados_integracion_partido_!$A$1:$AA$1,0),FALSE)</f>
        <v>0</v>
      </c>
      <c r="H12" s="4">
        <f>VLOOKUP($A$1,[9]resultados_integracion_partido_!$A$1:$AA$29,MATCH(H$2,[9]resultados_integracion_partido_!$A$1:$AA$1,0),FALSE)</f>
        <v>1</v>
      </c>
      <c r="I12" s="4">
        <f>VLOOKUP($A$1,[9]resultados_integracion_partido_!$A$1:$AA$29,MATCH(I$2,[9]resultados_integracion_partido_!$A$1:$AA$1,0),FALSE)</f>
        <v>1</v>
      </c>
    </row>
    <row r="13" spans="1:9" ht="6.5" customHeight="1" thickBot="1" x14ac:dyDescent="0.4"/>
    <row r="14" spans="1:9" ht="14.5" customHeight="1" x14ac:dyDescent="0.35">
      <c r="B14" s="28" t="s">
        <v>63</v>
      </c>
      <c r="C14" s="29"/>
      <c r="D14" s="29"/>
      <c r="E14" s="29"/>
      <c r="F14" s="29"/>
      <c r="G14" s="29"/>
      <c r="H14" s="29"/>
      <c r="I14" s="30"/>
    </row>
    <row r="15" spans="1:9" x14ac:dyDescent="0.35">
      <c r="B15" s="31"/>
      <c r="C15" s="32"/>
      <c r="D15" s="32"/>
      <c r="E15" s="32"/>
      <c r="F15" s="32"/>
      <c r="G15" s="32"/>
      <c r="H15" s="32"/>
      <c r="I15" s="33"/>
    </row>
    <row r="16" spans="1:9" x14ac:dyDescent="0.35">
      <c r="B16" s="31"/>
      <c r="C16" s="32"/>
      <c r="D16" s="32"/>
      <c r="E16" s="32"/>
      <c r="F16" s="32"/>
      <c r="G16" s="32"/>
      <c r="H16" s="32"/>
      <c r="I16" s="33"/>
    </row>
    <row r="17" spans="2:9" x14ac:dyDescent="0.35">
      <c r="B17" s="31"/>
      <c r="C17" s="32"/>
      <c r="D17" s="32"/>
      <c r="E17" s="32"/>
      <c r="F17" s="32"/>
      <c r="G17" s="32"/>
      <c r="H17" s="32"/>
      <c r="I17" s="33"/>
    </row>
    <row r="18" spans="2:9" x14ac:dyDescent="0.35">
      <c r="B18" s="31"/>
      <c r="C18" s="32"/>
      <c r="D18" s="32"/>
      <c r="E18" s="32"/>
      <c r="F18" s="32"/>
      <c r="G18" s="32"/>
      <c r="H18" s="32"/>
      <c r="I18" s="33"/>
    </row>
    <row r="19" spans="2:9" x14ac:dyDescent="0.35">
      <c r="B19" s="31"/>
      <c r="C19" s="32"/>
      <c r="D19" s="32"/>
      <c r="E19" s="32"/>
      <c r="F19" s="32"/>
      <c r="G19" s="32"/>
      <c r="H19" s="32"/>
      <c r="I19" s="33"/>
    </row>
    <row r="20" spans="2:9" x14ac:dyDescent="0.35">
      <c r="B20" s="31"/>
      <c r="C20" s="32"/>
      <c r="D20" s="32"/>
      <c r="E20" s="32"/>
      <c r="F20" s="32"/>
      <c r="G20" s="32"/>
      <c r="H20" s="32"/>
      <c r="I20" s="33"/>
    </row>
    <row r="21" spans="2:9" x14ac:dyDescent="0.35">
      <c r="B21" s="31"/>
      <c r="C21" s="32"/>
      <c r="D21" s="32"/>
      <c r="E21" s="32"/>
      <c r="F21" s="32"/>
      <c r="G21" s="32"/>
      <c r="H21" s="32"/>
      <c r="I21" s="33"/>
    </row>
    <row r="22" spans="2:9" x14ac:dyDescent="0.35">
      <c r="B22" s="31"/>
      <c r="C22" s="32"/>
      <c r="D22" s="32"/>
      <c r="E22" s="32"/>
      <c r="F22" s="32"/>
      <c r="G22" s="32"/>
      <c r="H22" s="32"/>
      <c r="I22" s="33"/>
    </row>
    <row r="23" spans="2:9" ht="79" customHeight="1" thickBot="1" x14ac:dyDescent="0.4">
      <c r="B23" s="34"/>
      <c r="C23" s="35"/>
      <c r="D23" s="35"/>
      <c r="E23" s="35"/>
      <c r="F23" s="35"/>
      <c r="G23" s="35"/>
      <c r="H23" s="35"/>
      <c r="I23" s="36"/>
    </row>
  </sheetData>
  <mergeCells count="1">
    <mergeCell ref="B14:I23"/>
  </mergeCell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AE84-88BE-4054-A4FA-FD43BA13B48C}">
  <dimension ref="A1:H23"/>
  <sheetViews>
    <sheetView showGridLines="0" topLeftCell="A7" zoomScaleNormal="100" workbookViewId="0">
      <selection activeCell="B24" sqref="B24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6" width="5.90625" bestFit="1" customWidth="1"/>
    <col min="7" max="7" width="6.90625" bestFit="1" customWidth="1"/>
    <col min="8" max="8" width="5.90625" bestFit="1" customWidth="1"/>
    <col min="9" max="9" width="46" customWidth="1"/>
  </cols>
  <sheetData>
    <row r="1" spans="1:8" x14ac:dyDescent="0.35">
      <c r="A1" s="27">
        <v>1</v>
      </c>
    </row>
    <row r="2" spans="1:8" x14ac:dyDescent="0.35">
      <c r="B2" s="2" t="s">
        <v>0</v>
      </c>
      <c r="C2" s="2" t="s">
        <v>11</v>
      </c>
      <c r="D2" s="2" t="s">
        <v>14</v>
      </c>
      <c r="E2" s="2" t="s">
        <v>23</v>
      </c>
      <c r="F2" s="2" t="s">
        <v>15</v>
      </c>
      <c r="G2" s="2" t="s">
        <v>60</v>
      </c>
      <c r="H2" s="2" t="s">
        <v>20</v>
      </c>
    </row>
    <row r="3" spans="1:8" x14ac:dyDescent="0.35">
      <c r="B3" s="1" t="s">
        <v>1</v>
      </c>
      <c r="C3" s="3">
        <v>0</v>
      </c>
      <c r="D3" s="3">
        <v>1</v>
      </c>
      <c r="E3" s="3">
        <v>1</v>
      </c>
      <c r="F3" s="3">
        <v>0</v>
      </c>
      <c r="G3" s="3">
        <v>0</v>
      </c>
      <c r="H3" s="3">
        <v>0</v>
      </c>
    </row>
    <row r="4" spans="1:8" x14ac:dyDescent="0.35">
      <c r="B4" s="5" t="s">
        <v>28</v>
      </c>
      <c r="C4" s="6">
        <f>VLOOKUP($A$1,[1]resultados_proyectados_proporci!$A$1:$AA$29,MATCH(C$2,[1]resultados_proyectados_proporci!$A$1:$AA$1,0),FALSE)</f>
        <v>2.4272310725650802E-2</v>
      </c>
      <c r="D4" s="6">
        <f>VLOOKUP($A$1,[1]resultados_proyectados_proporci!$A$1:$AA$29,MATCH(D$2,[1]resultados_proyectados_proporci!$A$1:$AA$1,0),FALSE)</f>
        <v>1.5386563403132599E-2</v>
      </c>
      <c r="E4" s="6">
        <f>VLOOKUP($A$1,[1]resultados_proyectados_proporci!$A$1:$AA$29,MATCH(E$2,[1]resultados_proyectados_proporci!$A$1:$AA$1,0),FALSE)</f>
        <v>5.2472661647272198E-2</v>
      </c>
      <c r="F4" s="6">
        <f>VLOOKUP($A$1,[1]resultados_proyectados_proporci!$A$1:$AA$29,MATCH(F$2,[1]resultados_proyectados_proporci!$A$1:$AA$1,0),FALSE)</f>
        <v>7.8602547173355505E-2</v>
      </c>
      <c r="G4" s="6">
        <f>VLOOKUP($A$1,[1]resultados_proyectados_proporci!$A$1:$AA$29,MATCH(G$2,[1]resultados_proyectados_proporci!$A$1:$AA$1,0),FALSE)</f>
        <v>0.147657020728308</v>
      </c>
      <c r="H4" s="6">
        <f>VLOOKUP($A$1,[1]resultados_proyectados_proporci!$A$1:$AA$29,MATCH(H$2,[1]resultados_proyectados_proporci!$A$1:$AA$1,0),FALSE)</f>
        <v>3.8587463944264398E-2</v>
      </c>
    </row>
    <row r="5" spans="1:8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1</v>
      </c>
      <c r="G5" s="4">
        <f>VLOOKUP($A$1,[2]resultados_integracion_partido_!$A$1:$AA$29,MATCH(G$2,[2]resultados_integracion_partido_!$A$1:$AA$1,0),FALSE)</f>
        <v>1</v>
      </c>
      <c r="H5" s="4">
        <f>VLOOKUP($A$1,[2]resultados_integracion_partido_!$A$1:$AA$29,MATCH(H$2,[2]resultados_integracion_partido_!$A$1:$AA$1,0),FALSE)</f>
        <v>0</v>
      </c>
    </row>
    <row r="6" spans="1:8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0</v>
      </c>
      <c r="G6" s="4">
        <f>VLOOKUP($A$1,[3]resultados_integracion_partido_!$A$1:$AA$29,MATCH(G$2,[3]resultados_integracion_partido_!$A$1:$AA$1,0),FALSE)</f>
        <v>1</v>
      </c>
      <c r="H6" s="4">
        <f>VLOOKUP($A$1,[3]resultados_integracion_partido_!$A$1:$AA$29,MATCH(H$2,[3]resultados_integracion_partido_!$A$1:$AA$1,0),FALSE)</f>
        <v>1</v>
      </c>
    </row>
    <row r="7" spans="1:8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0</v>
      </c>
      <c r="G7" s="4">
        <f>VLOOKUP($A$1,[4]resultados_integracion_partido_!$A$1:$AA$29,MATCH(G$2,[4]resultados_integracion_partido_!$A$1:$AA$1,0),FALSE)</f>
        <v>1</v>
      </c>
      <c r="H7" s="4">
        <f>VLOOKUP($A$1,[4]resultados_integracion_partido_!$A$1:$AA$29,MATCH(H$2,[4]resultados_integracion_partido_!$A$1:$AA$1,0),FALSE)</f>
        <v>1</v>
      </c>
    </row>
    <row r="8" spans="1:8" x14ac:dyDescent="0.35">
      <c r="B8" s="1" t="s">
        <v>5</v>
      </c>
      <c r="C8" s="4">
        <f>VLOOKUP($A$1,[5]resultados_integracion_partido_!$A$1:$AA$29,MATCH(C$2,[5]resultados_integracion_partido_!$A$1:$AA$1,0),FALSE)</f>
        <v>0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1</v>
      </c>
    </row>
    <row r="9" spans="1:8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1</v>
      </c>
      <c r="G9" s="4">
        <f>VLOOKUP($A$1,[6]resultados_integracion_partido_!$A$1:$AA$29,MATCH(G$2,[6]resultados_integracion_partido_!$A$1:$AA$1,0),FALSE)</f>
        <v>0</v>
      </c>
      <c r="H9" s="4">
        <f>VLOOKUP($A$1,[6]resultados_integracion_partido_!$A$1:$AA$29,MATCH(H$2,[6]resultados_integracion_partido_!$A$1:$AA$1,0),FALSE)</f>
        <v>1</v>
      </c>
    </row>
    <row r="10" spans="1:8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1</v>
      </c>
      <c r="H10" s="4">
        <f>VLOOKUP($A$1,[7]resultados_integracion_partido_!$A$1:$AA$29,MATCH(H$2,[7]resultados_integracion_partido_!$A$1:$AA$1,0),FALSE)</f>
        <v>1</v>
      </c>
    </row>
    <row r="11" spans="1:8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0</v>
      </c>
      <c r="F11" s="4">
        <f>VLOOKUP($A$1,[8]resultados_integracion_partido_!$A$1:$AA$29,MATCH(F$2,[8]resultados_integracion_partido_!$A$1:$AA$1,0),FALSE)</f>
        <v>1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0</v>
      </c>
    </row>
    <row r="12" spans="1:8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0</v>
      </c>
      <c r="F12" s="4">
        <f>VLOOKUP($A$1,[9]resultados_integracion_partido_!$A$1:$AA$29,MATCH(F$2,[9]resultados_integracion_partido_!$A$1:$AA$1,0),FALSE)</f>
        <v>1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0</v>
      </c>
    </row>
    <row r="13" spans="1:8" ht="15" thickBot="1" x14ac:dyDescent="0.4"/>
    <row r="14" spans="1:8" ht="14.5" customHeight="1" x14ac:dyDescent="0.35">
      <c r="B14" s="28" t="s">
        <v>64</v>
      </c>
      <c r="C14" s="29"/>
      <c r="D14" s="29"/>
      <c r="E14" s="29"/>
      <c r="F14" s="29"/>
      <c r="G14" s="29"/>
      <c r="H14" s="30"/>
    </row>
    <row r="15" spans="1:8" x14ac:dyDescent="0.35">
      <c r="B15" s="31"/>
      <c r="C15" s="32"/>
      <c r="D15" s="32"/>
      <c r="E15" s="32"/>
      <c r="F15" s="32"/>
      <c r="G15" s="32"/>
      <c r="H15" s="33"/>
    </row>
    <row r="16" spans="1:8" x14ac:dyDescent="0.35">
      <c r="B16" s="31"/>
      <c r="C16" s="32"/>
      <c r="D16" s="32"/>
      <c r="E16" s="32"/>
      <c r="F16" s="32"/>
      <c r="G16" s="32"/>
      <c r="H16" s="33"/>
    </row>
    <row r="17" spans="2:8" x14ac:dyDescent="0.35">
      <c r="B17" s="31"/>
      <c r="C17" s="32"/>
      <c r="D17" s="32"/>
      <c r="E17" s="32"/>
      <c r="F17" s="32"/>
      <c r="G17" s="32"/>
      <c r="H17" s="33"/>
    </row>
    <row r="18" spans="2:8" x14ac:dyDescent="0.35">
      <c r="B18" s="31"/>
      <c r="C18" s="32"/>
      <c r="D18" s="32"/>
      <c r="E18" s="32"/>
      <c r="F18" s="32"/>
      <c r="G18" s="32"/>
      <c r="H18" s="33"/>
    </row>
    <row r="19" spans="2:8" x14ac:dyDescent="0.35">
      <c r="B19" s="31"/>
      <c r="C19" s="32"/>
      <c r="D19" s="32"/>
      <c r="E19" s="32"/>
      <c r="F19" s="32"/>
      <c r="G19" s="32"/>
      <c r="H19" s="33"/>
    </row>
    <row r="20" spans="2:8" x14ac:dyDescent="0.35">
      <c r="B20" s="31"/>
      <c r="C20" s="32"/>
      <c r="D20" s="32"/>
      <c r="E20" s="32"/>
      <c r="F20" s="32"/>
      <c r="G20" s="32"/>
      <c r="H20" s="33"/>
    </row>
    <row r="21" spans="2:8" x14ac:dyDescent="0.35">
      <c r="B21" s="31"/>
      <c r="C21" s="32"/>
      <c r="D21" s="32"/>
      <c r="E21" s="32"/>
      <c r="F21" s="32"/>
      <c r="G21" s="32"/>
      <c r="H21" s="33"/>
    </row>
    <row r="22" spans="2:8" x14ac:dyDescent="0.35">
      <c r="B22" s="31"/>
      <c r="C22" s="32"/>
      <c r="D22" s="32"/>
      <c r="E22" s="32"/>
      <c r="F22" s="32"/>
      <c r="G22" s="32"/>
      <c r="H22" s="33"/>
    </row>
    <row r="23" spans="2:8" ht="87" customHeight="1" thickBot="1" x14ac:dyDescent="0.4">
      <c r="B23" s="34"/>
      <c r="C23" s="35"/>
      <c r="D23" s="35"/>
      <c r="E23" s="35"/>
      <c r="F23" s="35"/>
      <c r="G23" s="35"/>
      <c r="H23" s="36"/>
    </row>
  </sheetData>
  <mergeCells count="1">
    <mergeCell ref="B14:H2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733F-34D0-4D88-A6B5-E28376F26D12}">
  <dimension ref="A1:H23"/>
  <sheetViews>
    <sheetView showGridLines="0" workbookViewId="0">
      <selection activeCell="B24" sqref="B24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3" width="5.90625" bestFit="1" customWidth="1"/>
    <col min="4" max="4" width="6.36328125" bestFit="1" customWidth="1"/>
    <col min="5" max="5" width="5.90625" bestFit="1" customWidth="1"/>
    <col min="6" max="6" width="6.90625" bestFit="1" customWidth="1"/>
    <col min="7" max="7" width="6.08984375" bestFit="1" customWidth="1"/>
    <col min="8" max="8" width="5.90625" bestFit="1" customWidth="1"/>
    <col min="10" max="10" width="16.26953125" customWidth="1"/>
    <col min="11" max="11" width="46" customWidth="1"/>
  </cols>
  <sheetData>
    <row r="1" spans="1:8" x14ac:dyDescent="0.35">
      <c r="A1" s="27">
        <v>3</v>
      </c>
    </row>
    <row r="2" spans="1:8" x14ac:dyDescent="0.35">
      <c r="B2" s="2" t="s">
        <v>0</v>
      </c>
      <c r="C2" s="2" t="s">
        <v>11</v>
      </c>
      <c r="D2" s="2" t="s">
        <v>12</v>
      </c>
      <c r="E2" s="2" t="s">
        <v>22</v>
      </c>
      <c r="F2" s="2" t="s">
        <v>15</v>
      </c>
      <c r="G2" s="2" t="s">
        <v>17</v>
      </c>
      <c r="H2" s="2" t="s">
        <v>20</v>
      </c>
    </row>
    <row r="3" spans="1:8" x14ac:dyDescent="0.35">
      <c r="B3" s="1" t="s">
        <v>1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1</v>
      </c>
    </row>
    <row r="4" spans="1:8" x14ac:dyDescent="0.35">
      <c r="B4" s="5" t="s">
        <v>28</v>
      </c>
      <c r="C4" s="6">
        <f>VLOOKUP($A$1,[1]resultados_proyectados_proporci!$A$1:$AA$29,MATCH(C$2,[1]resultados_proyectados_proporci!$A$1:$AA$1,0),FALSE)</f>
        <v>4.1286140407391397E-2</v>
      </c>
      <c r="D4" s="6">
        <f>VLOOKUP($A$1,[1]resultados_proyectados_proporci!$A$1:$AA$29,MATCH(D$2,[1]resultados_proyectados_proporci!$A$1:$AA$1,0),FALSE)</f>
        <v>6.0158011655294399E-2</v>
      </c>
      <c r="E4" s="6">
        <f>VLOOKUP($A$1,[1]resultados_proyectados_proporci!$A$1:$AA$29,MATCH(E$2,[1]resultados_proyectados_proporci!$A$1:$AA$1,0),FALSE)</f>
        <v>3.7601502721381498E-2</v>
      </c>
      <c r="F4" s="6">
        <f>VLOOKUP($A$1,[1]resultados_proyectados_proporci!$A$1:$AA$29,MATCH(F$2,[1]resultados_proyectados_proporci!$A$1:$AA$1,0),FALSE)</f>
        <v>6.4175762342438006E-2</v>
      </c>
      <c r="G4" s="6">
        <f>VLOOKUP($A$1,[1]resultados_proyectados_proporci!$A$1:$AA$29,MATCH(G$2,[1]resultados_proyectados_proporci!$A$1:$AA$1,0),FALSE)</f>
        <v>5.1442687829713798E-2</v>
      </c>
      <c r="H4" s="6">
        <f>VLOOKUP($A$1,[1]resultados_proyectados_proporci!$A$1:$AA$29,MATCH(H$2,[1]resultados_proyectados_proporci!$A$1:$AA$1,0),FALSE)</f>
        <v>4.3908686248342203E-2</v>
      </c>
    </row>
    <row r="5" spans="1:8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1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1</v>
      </c>
      <c r="G5" s="4">
        <f>VLOOKUP($A$1,[2]resultados_integracion_partido_!$A$1:$AA$29,MATCH(G$2,[2]resultados_integracion_partido_!$A$1:$AA$1,0),FALSE)</f>
        <v>0</v>
      </c>
      <c r="H5" s="4">
        <f>VLOOKUP($A$1,[2]resultados_integracion_partido_!$A$1:$AA$29,MATCH(H$2,[2]resultados_integracion_partido_!$A$1:$AA$1,0),FALSE)</f>
        <v>0</v>
      </c>
    </row>
    <row r="6" spans="1:8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1</v>
      </c>
      <c r="F6" s="4">
        <f>VLOOKUP($A$1,[3]resultados_integracion_partido_!$A$1:$AA$29,MATCH(F$2,[3]resultados_integracion_partido_!$A$1:$AA$1,0),FALSE)</f>
        <v>1</v>
      </c>
      <c r="G6" s="4">
        <f>VLOOKUP($A$1,[3]resultados_integracion_partido_!$A$1:$AA$29,MATCH(G$2,[3]resultados_integracion_partido_!$A$1:$AA$1,0),FALSE)</f>
        <v>0</v>
      </c>
      <c r="H6" s="4">
        <f>VLOOKUP($A$1,[3]resultados_integracion_partido_!$A$1:$AA$29,MATCH(H$2,[3]resultados_integracion_partido_!$A$1:$AA$1,0),FALSE)</f>
        <v>0</v>
      </c>
    </row>
    <row r="7" spans="1:8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1</v>
      </c>
      <c r="F7" s="4">
        <f>VLOOKUP($A$1,[4]resultados_integracion_partido_!$A$1:$AA$29,MATCH(F$2,[4]resultados_integracion_partido_!$A$1:$AA$1,0),FALSE)</f>
        <v>1</v>
      </c>
      <c r="G7" s="4">
        <f>VLOOKUP($A$1,[4]resultados_integracion_partido_!$A$1:$AA$29,MATCH(G$2,[4]resultados_integracion_partido_!$A$1:$AA$1,0),FALSE)</f>
        <v>0</v>
      </c>
      <c r="H7" s="4">
        <f>VLOOKUP($A$1,[4]resultados_integracion_partido_!$A$1:$AA$29,MATCH(H$2,[4]resultados_integracion_partido_!$A$1:$AA$1,0),FALSE)</f>
        <v>0</v>
      </c>
    </row>
    <row r="8" spans="1:8" x14ac:dyDescent="0.35">
      <c r="B8" s="1" t="s">
        <v>5</v>
      </c>
      <c r="C8" s="4">
        <f>VLOOKUP($A$1,[5]resultados_integracion_partido_!$A$1:$AA$29,MATCH(C$2,[5]resultados_integracion_partido_!$A$1:$AA$1,0),FALSE)</f>
        <v>0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1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0</v>
      </c>
    </row>
    <row r="9" spans="1:8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1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1</v>
      </c>
      <c r="G9" s="4">
        <f>VLOOKUP($A$1,[6]resultados_integracion_partido_!$A$1:$AA$29,MATCH(G$2,[6]resultados_integracion_partido_!$A$1:$AA$1,0),FALSE)</f>
        <v>0</v>
      </c>
      <c r="H9" s="4">
        <f>VLOOKUP($A$1,[6]resultados_integracion_partido_!$A$1:$AA$29,MATCH(H$2,[6]resultados_integracion_partido_!$A$1:$AA$1,0),FALSE)</f>
        <v>0</v>
      </c>
    </row>
    <row r="10" spans="1:8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1</v>
      </c>
      <c r="E10" s="4">
        <f>VLOOKUP($A$1,[7]resultados_integracion_partido_!$A$1:$AA$29,MATCH(E$2,[7]resultados_integracion_partido_!$A$1:$AA$1,0),FALSE)</f>
        <v>1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0</v>
      </c>
      <c r="H10" s="4">
        <f>VLOOKUP($A$1,[7]resultados_integracion_partido_!$A$1:$AA$29,MATCH(H$2,[7]resultados_integracion_partido_!$A$1:$AA$1,0),FALSE)</f>
        <v>0</v>
      </c>
    </row>
    <row r="11" spans="1:8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1</v>
      </c>
      <c r="F11" s="4">
        <f>VLOOKUP($A$1,[8]resultados_integracion_partido_!$A$1:$AA$29,MATCH(F$2,[8]resultados_integracion_partido_!$A$1:$AA$1,0),FALSE)</f>
        <v>1</v>
      </c>
      <c r="G11" s="4">
        <f>VLOOKUP($A$1,[8]resultados_integracion_partido_!$A$1:$AA$29,MATCH(G$2,[8]resultados_integracion_partido_!$A$1:$AA$1,0),FALSE)</f>
        <v>0</v>
      </c>
      <c r="H11" s="4">
        <f>VLOOKUP($A$1,[8]resultados_integracion_partido_!$A$1:$AA$29,MATCH(H$2,[8]resultados_integracion_partido_!$A$1:$AA$1,0),FALSE)</f>
        <v>0</v>
      </c>
    </row>
    <row r="12" spans="1:8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1</v>
      </c>
      <c r="E12" s="4">
        <f>VLOOKUP($A$1,[9]resultados_integracion_partido_!$A$1:$AA$29,MATCH(E$2,[9]resultados_integracion_partido_!$A$1:$AA$1,0),FALSE)</f>
        <v>1</v>
      </c>
      <c r="F12" s="4">
        <f>VLOOKUP($A$1,[9]resultados_integracion_partido_!$A$1:$AA$29,MATCH(F$2,[9]resultados_integracion_partido_!$A$1:$AA$1,0),FALSE)</f>
        <v>0</v>
      </c>
      <c r="G12" s="4">
        <f>VLOOKUP($A$1,[9]resultados_integracion_partido_!$A$1:$AA$29,MATCH(G$2,[9]resultados_integracion_partido_!$A$1:$AA$1,0),FALSE)</f>
        <v>0</v>
      </c>
      <c r="H12" s="4">
        <f>VLOOKUP($A$1,[9]resultados_integracion_partido_!$A$1:$AA$29,MATCH(H$2,[9]resultados_integracion_partido_!$A$1:$AA$1,0),FALSE)</f>
        <v>0</v>
      </c>
    </row>
    <row r="13" spans="1:8" ht="15" thickBot="1" x14ac:dyDescent="0.4"/>
    <row r="14" spans="1:8" ht="14.5" customHeight="1" x14ac:dyDescent="0.35">
      <c r="B14" s="28" t="s">
        <v>64</v>
      </c>
      <c r="C14" s="29"/>
      <c r="D14" s="29"/>
      <c r="E14" s="29"/>
      <c r="F14" s="29"/>
      <c r="G14" s="29"/>
      <c r="H14" s="30"/>
    </row>
    <row r="15" spans="1:8" x14ac:dyDescent="0.35">
      <c r="B15" s="31"/>
      <c r="C15" s="32"/>
      <c r="D15" s="32"/>
      <c r="E15" s="32"/>
      <c r="F15" s="32"/>
      <c r="G15" s="32"/>
      <c r="H15" s="33"/>
    </row>
    <row r="16" spans="1:8" x14ac:dyDescent="0.35">
      <c r="B16" s="31"/>
      <c r="C16" s="32"/>
      <c r="D16" s="32"/>
      <c r="E16" s="32"/>
      <c r="F16" s="32"/>
      <c r="G16" s="32"/>
      <c r="H16" s="33"/>
    </row>
    <row r="17" spans="2:8" x14ac:dyDescent="0.35">
      <c r="B17" s="31"/>
      <c r="C17" s="32"/>
      <c r="D17" s="32"/>
      <c r="E17" s="32"/>
      <c r="F17" s="32"/>
      <c r="G17" s="32"/>
      <c r="H17" s="33"/>
    </row>
    <row r="18" spans="2:8" x14ac:dyDescent="0.35">
      <c r="B18" s="31"/>
      <c r="C18" s="32"/>
      <c r="D18" s="32"/>
      <c r="E18" s="32"/>
      <c r="F18" s="32"/>
      <c r="G18" s="32"/>
      <c r="H18" s="33"/>
    </row>
    <row r="19" spans="2:8" x14ac:dyDescent="0.35">
      <c r="B19" s="31"/>
      <c r="C19" s="32"/>
      <c r="D19" s="32"/>
      <c r="E19" s="32"/>
      <c r="F19" s="32"/>
      <c r="G19" s="32"/>
      <c r="H19" s="33"/>
    </row>
    <row r="20" spans="2:8" x14ac:dyDescent="0.35">
      <c r="B20" s="31"/>
      <c r="C20" s="32"/>
      <c r="D20" s="32"/>
      <c r="E20" s="32"/>
      <c r="F20" s="32"/>
      <c r="G20" s="32"/>
      <c r="H20" s="33"/>
    </row>
    <row r="21" spans="2:8" x14ac:dyDescent="0.35">
      <c r="B21" s="31"/>
      <c r="C21" s="32"/>
      <c r="D21" s="32"/>
      <c r="E21" s="32"/>
      <c r="F21" s="32"/>
      <c r="G21" s="32"/>
      <c r="H21" s="33"/>
    </row>
    <row r="22" spans="2:8" x14ac:dyDescent="0.35">
      <c r="B22" s="31"/>
      <c r="C22" s="32"/>
      <c r="D22" s="32"/>
      <c r="E22" s="32"/>
      <c r="F22" s="32"/>
      <c r="G22" s="32"/>
      <c r="H22" s="33"/>
    </row>
    <row r="23" spans="2:8" ht="97.5" customHeight="1" thickBot="1" x14ac:dyDescent="0.4">
      <c r="B23" s="34"/>
      <c r="C23" s="35"/>
      <c r="D23" s="35"/>
      <c r="E23" s="35"/>
      <c r="F23" s="35"/>
      <c r="G23" s="35"/>
      <c r="H23" s="36"/>
    </row>
  </sheetData>
  <mergeCells count="1">
    <mergeCell ref="B14:H2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20F0-81EA-4B55-8BF5-5CBED46DDED6}">
  <dimension ref="A1:I23"/>
  <sheetViews>
    <sheetView showGridLines="0" zoomScaleNormal="100" workbookViewId="0">
      <selection activeCell="B14" sqref="B14:I23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3" width="6.90625" bestFit="1" customWidth="1"/>
    <col min="4" max="6" width="5.90625" bestFit="1" customWidth="1"/>
    <col min="7" max="7" width="6.08984375" bestFit="1" customWidth="1"/>
    <col min="8" max="8" width="6.90625" bestFit="1" customWidth="1"/>
    <col min="9" max="9" width="5.90625" bestFit="1" customWidth="1"/>
    <col min="11" max="11" width="16.26953125" customWidth="1"/>
    <col min="12" max="12" width="46.6328125" customWidth="1"/>
  </cols>
  <sheetData>
    <row r="1" spans="1:9" x14ac:dyDescent="0.35">
      <c r="A1" s="27">
        <v>5</v>
      </c>
    </row>
    <row r="2" spans="1:9" x14ac:dyDescent="0.35">
      <c r="B2" s="2" t="s">
        <v>0</v>
      </c>
      <c r="C2" s="2" t="s">
        <v>11</v>
      </c>
      <c r="D2" s="2" t="s">
        <v>14</v>
      </c>
      <c r="E2" s="2" t="s">
        <v>15</v>
      </c>
      <c r="F2" s="2" t="s">
        <v>23</v>
      </c>
      <c r="G2" s="2" t="s">
        <v>17</v>
      </c>
      <c r="H2" s="2" t="s">
        <v>60</v>
      </c>
      <c r="I2" s="2" t="s">
        <v>20</v>
      </c>
    </row>
    <row r="3" spans="1:9" x14ac:dyDescent="0.35">
      <c r="B3" s="1" t="s">
        <v>1</v>
      </c>
      <c r="C3" s="3">
        <v>1</v>
      </c>
      <c r="D3" s="3">
        <v>1</v>
      </c>
      <c r="E3" s="3">
        <v>2</v>
      </c>
      <c r="F3" s="3">
        <v>0</v>
      </c>
      <c r="G3" s="3">
        <v>0</v>
      </c>
      <c r="H3" s="3">
        <v>0</v>
      </c>
      <c r="I3" s="3">
        <v>0</v>
      </c>
    </row>
    <row r="4" spans="1:9" x14ac:dyDescent="0.35">
      <c r="B4" s="5" t="s">
        <v>29</v>
      </c>
      <c r="C4" s="6">
        <f>VLOOKUP($A$1,[1]resultados_proyectados_proporci!$A$1:$AA$29,MATCH(C$2,[1]resultados_proyectados_proporci!$A$1:$AA$1,0),FALSE)</f>
        <v>5.02370237710381E-2</v>
      </c>
      <c r="D4" s="6">
        <f>VLOOKUP($A$1,[1]resultados_proyectados_proporci!$A$1:$AA$29,MATCH(D$2,[1]resultados_proyectados_proporci!$A$1:$AA$1,0),FALSE)</f>
        <v>2.7385757975413601E-2</v>
      </c>
      <c r="E4" s="6">
        <f>VLOOKUP($A$1,[1]resultados_proyectados_proporci!$A$1:$AA$29,MATCH(E$2,[1]resultados_proyectados_proporci!$A$1:$AA$1,0),FALSE)</f>
        <v>8.5525958179680298E-2</v>
      </c>
      <c r="F4" s="6">
        <f>VLOOKUP($A$1,[1]resultados_proyectados_proporci!$A$1:$AA$29,MATCH(F$2,[1]resultados_proyectados_proporci!$A$1:$AA$1,0),FALSE)</f>
        <v>9.4617829566033304E-2</v>
      </c>
      <c r="G4" s="6">
        <f>VLOOKUP($A$1,[1]resultados_proyectados_proporci!$A$1:$AA$29,MATCH(G$2,[1]resultados_proyectados_proporci!$A$1:$AA$1,0),FALSE)</f>
        <v>7.5763210820986193E-2</v>
      </c>
      <c r="H4" s="6">
        <f>VLOOKUP($A$1,[1]resultados_proyectados_proporci!$A$1:$AA$29,MATCH(H$2,[1]resultados_proyectados_proporci!$A$1:$AA$1,0),FALSE)</f>
        <v>8.2057500793893706E-2</v>
      </c>
      <c r="I4" s="6">
        <f>VLOOKUP($A$1,[1]resultados_proyectados_proporci!$A$1:$AA$29,MATCH(I$2,[1]resultados_proyectados_proporci!$A$1:$AA$1,0),FALSE)</f>
        <v>6.2396471964822599E-2</v>
      </c>
    </row>
    <row r="5" spans="1:9" x14ac:dyDescent="0.35">
      <c r="B5" s="1" t="s">
        <v>2</v>
      </c>
      <c r="C5" s="4">
        <f>VLOOKUP($A$1,[2]resultados_integracion_partido_!$A$1:$AA$29,MATCH(C$2,[2]resultados_integracion_partido_!$A$1:$AA$1,0),FALSE)</f>
        <v>1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1</v>
      </c>
      <c r="F5" s="4">
        <f>VLOOKUP($A$1,[2]resultados_integracion_partido_!$A$1:$AA$29,MATCH(F$2,[2]resultados_integracion_partido_!$A$1:$AA$1,0),FALSE)</f>
        <v>1</v>
      </c>
      <c r="G5" s="4">
        <f>VLOOKUP($A$1,[2]resultados_integracion_partido_!$A$1:$AA$29,MATCH(G$2,[2]resultados_integracion_partido_!$A$1:$AA$1,0),FALSE)</f>
        <v>0</v>
      </c>
      <c r="H5" s="4">
        <f>VLOOKUP($A$1,[2]resultados_integracion_partido_!$A$1:$AA$29,MATCH(H$2,[2]resultados_integracion_partido_!$A$1:$AA$1,0),FALSE)</f>
        <v>2</v>
      </c>
      <c r="I5" s="4">
        <f>VLOOKUP($A$1,[2]resultados_integracion_partido_!$A$1:$AA$29,MATCH(I$2,[2]resultados_integracion_partido_!$A$1:$AA$1,0),FALSE)</f>
        <v>0</v>
      </c>
    </row>
    <row r="6" spans="1:9" x14ac:dyDescent="0.35">
      <c r="B6" s="1" t="s">
        <v>3</v>
      </c>
      <c r="C6" s="4">
        <f>VLOOKUP($A$1,[3]resultados_integracion_partido_!$A$1:$AA$29,MATCH(C$2,[3]resultados_integracion_partido_!$A$1:$AA$1,0),FALSE)</f>
        <v>1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1</v>
      </c>
      <c r="F6" s="4">
        <f>VLOOKUP($A$1,[3]resultados_integracion_partido_!$A$1:$AA$29,MATCH(F$2,[3]resultados_integracion_partido_!$A$1:$AA$1,0),FALSE)</f>
        <v>0</v>
      </c>
      <c r="G6" s="4">
        <f>VLOOKUP($A$1,[3]resultados_integracion_partido_!$A$1:$AA$29,MATCH(G$2,[3]resultados_integracion_partido_!$A$1:$AA$1,0),FALSE)</f>
        <v>0</v>
      </c>
      <c r="H6" s="4">
        <f>VLOOKUP($A$1,[3]resultados_integracion_partido_!$A$1:$AA$29,MATCH(H$2,[3]resultados_integracion_partido_!$A$1:$AA$1,0),FALSE)</f>
        <v>2</v>
      </c>
      <c r="I6" s="4">
        <f>VLOOKUP($A$1,[3]resultados_integracion_partido_!$A$1:$AA$29,MATCH(I$2,[3]resultados_integracion_partido_!$A$1:$AA$1,0),FALSE)</f>
        <v>1</v>
      </c>
    </row>
    <row r="7" spans="1:9" x14ac:dyDescent="0.35">
      <c r="B7" s="1" t="s">
        <v>4</v>
      </c>
      <c r="C7" s="4">
        <f>VLOOKUP($A$1,[4]resultados_integracion_partido_!$A$1:$AA$29,MATCH(C$2,[4]resultados_integracion_partido_!$A$1:$AA$1,0),FALSE)</f>
        <v>1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1</v>
      </c>
      <c r="F7" s="4">
        <f>VLOOKUP($A$1,[4]resultados_integracion_partido_!$A$1:$AA$29,MATCH(F$2,[4]resultados_integracion_partido_!$A$1:$AA$1,0),FALSE)</f>
        <v>0</v>
      </c>
      <c r="G7" s="4">
        <f>VLOOKUP($A$1,[4]resultados_integracion_partido_!$A$1:$AA$29,MATCH(G$2,[4]resultados_integracion_partido_!$A$1:$AA$1,0),FALSE)</f>
        <v>0</v>
      </c>
      <c r="H7" s="4">
        <f>VLOOKUP($A$1,[4]resultados_integracion_partido_!$A$1:$AA$29,MATCH(H$2,[4]resultados_integracion_partido_!$A$1:$AA$1,0),FALSE)</f>
        <v>2</v>
      </c>
      <c r="I7" s="4">
        <f>VLOOKUP($A$1,[4]resultados_integracion_partido_!$A$1:$AA$29,MATCH(I$2,[4]resultados_integracion_partido_!$A$1:$AA$1,0),FALSE)</f>
        <v>1</v>
      </c>
    </row>
    <row r="8" spans="1:9" x14ac:dyDescent="0.35">
      <c r="B8" s="1" t="s">
        <v>5</v>
      </c>
      <c r="C8" s="4">
        <f>VLOOKUP($A$1,[5]resultados_integracion_partido_!$A$1:$AA$29,MATCH(C$2,[5]resultados_integracion_partido_!$A$1:$AA$1,0),FALSE)</f>
        <v>1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1</v>
      </c>
      <c r="F8" s="4">
        <f>VLOOKUP($A$1,[5]resultados_integracion_partido_!$A$1:$AA$29,MATCH(F$2,[5]resultados_integracion_partido_!$A$1:$AA$1,0),FALSE)</f>
        <v>1</v>
      </c>
      <c r="G8" s="4">
        <f>VLOOKUP($A$1,[5]resultados_integracion_partido_!$A$1:$AA$29,MATCH(G$2,[5]resultados_integracion_partido_!$A$1:$AA$1,0),FALSE)</f>
        <v>0</v>
      </c>
      <c r="H8" s="4">
        <f>VLOOKUP($A$1,[5]resultados_integracion_partido_!$A$1:$AA$29,MATCH(H$2,[5]resultados_integracion_partido_!$A$1:$AA$1,0),FALSE)</f>
        <v>1</v>
      </c>
      <c r="I8" s="4">
        <f>VLOOKUP($A$1,[5]resultados_integracion_partido_!$A$1:$AA$29,MATCH(I$2,[5]resultados_integracion_partido_!$A$1:$AA$1,0),FALSE)</f>
        <v>1</v>
      </c>
    </row>
    <row r="9" spans="1:9" x14ac:dyDescent="0.35">
      <c r="B9" s="1" t="s">
        <v>31</v>
      </c>
      <c r="C9" s="4">
        <f>VLOOKUP($A$1,[6]resultados_integracion_partido_!$A$1:$AA$29,MATCH(C$2,[6]resultados_integracion_partido_!$A$1:$AA$1,0),FALSE)</f>
        <v>1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1</v>
      </c>
      <c r="F9" s="4">
        <f>VLOOKUP($A$1,[6]resultados_integracion_partido_!$A$1:$AA$29,MATCH(F$2,[6]resultados_integracion_partido_!$A$1:$AA$1,0),FALSE)</f>
        <v>1</v>
      </c>
      <c r="G9" s="4">
        <f>VLOOKUP($A$1,[6]resultados_integracion_partido_!$A$1:$AA$29,MATCH(G$2,[6]resultados_integracion_partido_!$A$1:$AA$1,0),FALSE)</f>
        <v>0</v>
      </c>
      <c r="H9" s="4">
        <f>VLOOKUP($A$1,[6]resultados_integracion_partido_!$A$1:$AA$29,MATCH(H$2,[6]resultados_integracion_partido_!$A$1:$AA$1,0),FALSE)</f>
        <v>1</v>
      </c>
      <c r="I9" s="4">
        <f>VLOOKUP($A$1,[6]resultados_integracion_partido_!$A$1:$AA$29,MATCH(I$2,[6]resultados_integracion_partido_!$A$1:$AA$1,0),FALSE)</f>
        <v>1</v>
      </c>
    </row>
    <row r="10" spans="1:9" x14ac:dyDescent="0.35">
      <c r="B10" s="1" t="s">
        <v>32</v>
      </c>
      <c r="C10" s="4">
        <f>VLOOKUP($A$1,[7]resultados_integracion_partido_!$A$1:$AA$29,MATCH(C$2,[7]resultados_integracion_partido_!$A$1:$AA$1,0),FALSE)</f>
        <v>1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1</v>
      </c>
      <c r="F10" s="4">
        <f>VLOOKUP($A$1,[7]resultados_integracion_partido_!$A$1:$AA$29,MATCH(F$2,[7]resultados_integracion_partido_!$A$1:$AA$1,0),FALSE)</f>
        <v>1</v>
      </c>
      <c r="G10" s="4">
        <f>VLOOKUP($A$1,[7]resultados_integracion_partido_!$A$1:$AA$29,MATCH(G$2,[7]resultados_integracion_partido_!$A$1:$AA$1,0),FALSE)</f>
        <v>0</v>
      </c>
      <c r="H10" s="4">
        <f>VLOOKUP($A$1,[7]resultados_integracion_partido_!$A$1:$AA$29,MATCH(H$2,[7]resultados_integracion_partido_!$A$1:$AA$1,0),FALSE)</f>
        <v>1</v>
      </c>
      <c r="I10" s="4">
        <f>VLOOKUP($A$1,[7]resultados_integracion_partido_!$A$1:$AA$29,MATCH(I$2,[7]resultados_integracion_partido_!$A$1:$AA$1,0),FALSE)</f>
        <v>1</v>
      </c>
    </row>
    <row r="11" spans="1:9" x14ac:dyDescent="0.35">
      <c r="B11" s="1" t="s">
        <v>33</v>
      </c>
      <c r="C11" s="4">
        <f>VLOOKUP($A$1,[8]resultados_integracion_partido_!$A$1:$AA$29,MATCH(C$2,[8]resultados_integracion_partido_!$A$1:$AA$1,0),FALSE)</f>
        <v>1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1</v>
      </c>
      <c r="F11" s="4">
        <f>VLOOKUP($A$1,[8]resultados_integracion_partido_!$A$1:$AA$29,MATCH(F$2,[8]resultados_integracion_partido_!$A$1:$AA$1,0),FALSE)</f>
        <v>0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1</v>
      </c>
      <c r="I11" s="4">
        <f>VLOOKUP($A$1,[8]resultados_integracion_partido_!$A$1:$AA$29,MATCH(I$2,[8]resultados_integracion_partido_!$A$1:$AA$1,0),FALSE)</f>
        <v>1</v>
      </c>
    </row>
    <row r="12" spans="1:9" x14ac:dyDescent="0.35">
      <c r="B12" s="1" t="s">
        <v>34</v>
      </c>
      <c r="C12" s="4">
        <f>VLOOKUP($A$1,[9]resultados_integracion_partido_!$A$1:$AA$29,MATCH(C$2,[9]resultados_integracion_partido_!$A$1:$AA$1,0),FALSE)</f>
        <v>1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1</v>
      </c>
      <c r="F12" s="4">
        <f>VLOOKUP($A$1,[9]resultados_integracion_partido_!$A$1:$AA$29,MATCH(F$2,[9]resultados_integracion_partido_!$A$1:$AA$1,0),FALSE)</f>
        <v>0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1</v>
      </c>
      <c r="I12" s="4">
        <f>VLOOKUP($A$1,[9]resultados_integracion_partido_!$A$1:$AA$29,MATCH(I$2,[9]resultados_integracion_partido_!$A$1:$AA$1,0),FALSE)</f>
        <v>1</v>
      </c>
    </row>
    <row r="13" spans="1:9" ht="15" thickBot="1" x14ac:dyDescent="0.4"/>
    <row r="14" spans="1:9" ht="14.5" customHeight="1" x14ac:dyDescent="0.35">
      <c r="B14" s="28" t="s">
        <v>64</v>
      </c>
      <c r="C14" s="29"/>
      <c r="D14" s="29"/>
      <c r="E14" s="29"/>
      <c r="F14" s="29"/>
      <c r="G14" s="29"/>
      <c r="H14" s="29"/>
      <c r="I14" s="30"/>
    </row>
    <row r="15" spans="1:9" x14ac:dyDescent="0.35">
      <c r="B15" s="31"/>
      <c r="C15" s="32"/>
      <c r="D15" s="32"/>
      <c r="E15" s="32"/>
      <c r="F15" s="32"/>
      <c r="G15" s="32"/>
      <c r="H15" s="32"/>
      <c r="I15" s="33"/>
    </row>
    <row r="16" spans="1:9" x14ac:dyDescent="0.35">
      <c r="B16" s="31"/>
      <c r="C16" s="32"/>
      <c r="D16" s="32"/>
      <c r="E16" s="32"/>
      <c r="F16" s="32"/>
      <c r="G16" s="32"/>
      <c r="H16" s="32"/>
      <c r="I16" s="33"/>
    </row>
    <row r="17" spans="2:9" x14ac:dyDescent="0.35">
      <c r="B17" s="31"/>
      <c r="C17" s="32"/>
      <c r="D17" s="32"/>
      <c r="E17" s="32"/>
      <c r="F17" s="32"/>
      <c r="G17" s="32"/>
      <c r="H17" s="32"/>
      <c r="I17" s="33"/>
    </row>
    <row r="18" spans="2:9" x14ac:dyDescent="0.35">
      <c r="B18" s="31"/>
      <c r="C18" s="32"/>
      <c r="D18" s="32"/>
      <c r="E18" s="32"/>
      <c r="F18" s="32"/>
      <c r="G18" s="32"/>
      <c r="H18" s="32"/>
      <c r="I18" s="33"/>
    </row>
    <row r="19" spans="2:9" x14ac:dyDescent="0.35">
      <c r="B19" s="31"/>
      <c r="C19" s="32"/>
      <c r="D19" s="32"/>
      <c r="E19" s="32"/>
      <c r="F19" s="32"/>
      <c r="G19" s="32"/>
      <c r="H19" s="32"/>
      <c r="I19" s="33"/>
    </row>
    <row r="20" spans="2:9" x14ac:dyDescent="0.35">
      <c r="B20" s="31"/>
      <c r="C20" s="32"/>
      <c r="D20" s="32"/>
      <c r="E20" s="32"/>
      <c r="F20" s="32"/>
      <c r="G20" s="32"/>
      <c r="H20" s="32"/>
      <c r="I20" s="33"/>
    </row>
    <row r="21" spans="2:9" x14ac:dyDescent="0.35">
      <c r="B21" s="31"/>
      <c r="C21" s="32"/>
      <c r="D21" s="32"/>
      <c r="E21" s="32"/>
      <c r="F21" s="32"/>
      <c r="G21" s="32"/>
      <c r="H21" s="32"/>
      <c r="I21" s="33"/>
    </row>
    <row r="22" spans="2:9" x14ac:dyDescent="0.35">
      <c r="B22" s="31"/>
      <c r="C22" s="32"/>
      <c r="D22" s="32"/>
      <c r="E22" s="32"/>
      <c r="F22" s="32"/>
      <c r="G22" s="32"/>
      <c r="H22" s="32"/>
      <c r="I22" s="33"/>
    </row>
    <row r="23" spans="2:9" ht="68.5" customHeight="1" thickBot="1" x14ac:dyDescent="0.4">
      <c r="B23" s="34"/>
      <c r="C23" s="35"/>
      <c r="D23" s="35"/>
      <c r="E23" s="35"/>
      <c r="F23" s="35"/>
      <c r="G23" s="35"/>
      <c r="H23" s="35"/>
      <c r="I23" s="36"/>
    </row>
  </sheetData>
  <mergeCells count="1">
    <mergeCell ref="B14:I2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2506-0B9F-4B14-ADA0-702CD03037C2}">
  <dimension ref="A1:K23"/>
  <sheetViews>
    <sheetView showGridLines="0" workbookViewId="0">
      <selection activeCell="B24" sqref="B24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3" width="6.90625" bestFit="1" customWidth="1"/>
    <col min="4" max="8" width="5.90625" bestFit="1" customWidth="1"/>
    <col min="9" max="9" width="6.08984375" bestFit="1" customWidth="1"/>
    <col min="10" max="10" width="6.08984375" customWidth="1"/>
    <col min="11" max="11" width="6.90625" bestFit="1" customWidth="1"/>
    <col min="13" max="13" width="16.26953125" customWidth="1"/>
    <col min="14" max="14" width="46.08984375" customWidth="1"/>
  </cols>
  <sheetData>
    <row r="1" spans="1:11" x14ac:dyDescent="0.35">
      <c r="A1" s="27">
        <v>7</v>
      </c>
    </row>
    <row r="2" spans="1:11" x14ac:dyDescent="0.35">
      <c r="B2" s="2" t="s">
        <v>0</v>
      </c>
      <c r="C2" s="2" t="s">
        <v>11</v>
      </c>
      <c r="D2" s="2" t="s">
        <v>13</v>
      </c>
      <c r="E2" s="2" t="s">
        <v>61</v>
      </c>
      <c r="F2" s="2" t="s">
        <v>22</v>
      </c>
      <c r="G2" s="2" t="s">
        <v>15</v>
      </c>
      <c r="H2" s="2" t="s">
        <v>23</v>
      </c>
      <c r="I2" s="2" t="s">
        <v>21</v>
      </c>
      <c r="J2" s="2" t="s">
        <v>20</v>
      </c>
      <c r="K2" s="2" t="s">
        <v>60</v>
      </c>
    </row>
    <row r="3" spans="1:11" x14ac:dyDescent="0.35">
      <c r="B3" s="1" t="s">
        <v>1</v>
      </c>
      <c r="C3" s="3">
        <v>0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0</v>
      </c>
      <c r="J3" s="3">
        <v>0</v>
      </c>
      <c r="K3" s="3">
        <v>0</v>
      </c>
    </row>
    <row r="4" spans="1:11" x14ac:dyDescent="0.35">
      <c r="B4" s="5" t="s">
        <v>29</v>
      </c>
      <c r="C4" s="6">
        <f>VLOOKUP($A$1,[1]resultados_proyectados_proporci!$A$1:$AA$29,MATCH(C$2,[1]resultados_proyectados_proporci!$A$1:$AA$1,0),FALSE)</f>
        <v>0.106385424878759</v>
      </c>
      <c r="D4" s="6">
        <f>VLOOKUP($A$1,[1]resultados_proyectados_proporci!$A$1:$AA$29,MATCH(D$2,[1]resultados_proyectados_proporci!$A$1:$AA$1,0),FALSE)</f>
        <v>2.5004777945005802E-2</v>
      </c>
      <c r="E4" s="6">
        <f>VLOOKUP($A$1,[1]resultados_proyectados_proporci!$A$1:$AA$29,MATCH(E$2,[1]resultados_proyectados_proporci!$A$1:$AA$1,0),FALSE)</f>
        <v>7.4052175159463902E-3</v>
      </c>
      <c r="F4" s="6">
        <f>VLOOKUP($A$1,[1]resultados_proyectados_proporci!$A$1:$AA$29,MATCH(F$2,[1]resultados_proyectados_proporci!$A$1:$AA$1,0),FALSE)</f>
        <v>3.3905193626221297E-2</v>
      </c>
      <c r="G4" s="6">
        <f>VLOOKUP($A$1,[1]resultados_proyectados_proporci!$A$1:$AA$29,MATCH(G$2,[1]resultados_proyectados_proporci!$A$1:$AA$1,0),FALSE)</f>
        <v>8.1187737404142493E-2</v>
      </c>
      <c r="H4" s="6">
        <f>VLOOKUP($A$1,[1]resultados_proyectados_proporci!$A$1:$AA$29,MATCH(H$2,[1]resultados_proyectados_proporci!$A$1:$AA$1,0),FALSE)</f>
        <v>6.8755524498913007E-2</v>
      </c>
      <c r="I4" s="6">
        <f>VLOOKUP($A$1,[1]resultados_proyectados_proporci!$A$1:$AA$29,MATCH(I$2,[1]resultados_proyectados_proporci!$A$1:$AA$1,0),FALSE)</f>
        <v>3.22538163835734E-2</v>
      </c>
      <c r="J4" s="6">
        <f>VLOOKUP($A$1,[1]resultados_proyectados_proporci!$A$1:$AA$29,MATCH(J$2,[1]resultados_proyectados_proporci!$A$1:$AA$1,0),FALSE)</f>
        <v>4.3716405074177601E-2</v>
      </c>
      <c r="K4" s="6">
        <f>VLOOKUP($A$1,[1]resultados_proyectados_proporci!$A$1:$AA$29,MATCH(K$2,[1]resultados_proyectados_proporci!$A$1:$AA$1,0),FALSE)</f>
        <v>0.15184368952913299</v>
      </c>
    </row>
    <row r="5" spans="1:11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0</v>
      </c>
      <c r="G5" s="4">
        <f>VLOOKUP($A$1,[2]resultados_integracion_partido_!$A$1:$AA$29,MATCH(G$2,[2]resultados_integracion_partido_!$A$1:$AA$1,0),FALSE)</f>
        <v>2</v>
      </c>
      <c r="H5" s="4">
        <f>VLOOKUP($A$1,[2]resultados_integracion_partido_!$A$1:$AA$29,MATCH(H$2,[2]resultados_integracion_partido_!$A$1:$AA$1,0),FALSE)</f>
        <v>1</v>
      </c>
      <c r="I5" s="4">
        <f>VLOOKUP($A$1,[2]resultados_integracion_partido_!$A$1:$AA$29,MATCH(I$2,[2]resultados_integracion_partido_!$A$1:$AA$1,0),FALSE)</f>
        <v>1</v>
      </c>
      <c r="J5" s="4">
        <f>VLOOKUP($A$1,[2]resultados_integracion_partido_!$A$1:$AA$29,MATCH(J$2,[2]resultados_integracion_partido_!$A$1:$AA$1,0),FALSE)</f>
        <v>0</v>
      </c>
      <c r="K5" s="4">
        <f>VLOOKUP($A$1,[2]resultados_integracion_partido_!$A$1:$AA$29,MATCH(K$2,[2]resultados_integracion_partido_!$A$1:$AA$1,0),FALSE)</f>
        <v>1</v>
      </c>
    </row>
    <row r="6" spans="1:11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0</v>
      </c>
      <c r="G6" s="4">
        <f>VLOOKUP($A$1,[3]resultados_integracion_partido_!$A$1:$AA$29,MATCH(G$2,[3]resultados_integracion_partido_!$A$1:$AA$1,0),FALSE)</f>
        <v>1</v>
      </c>
      <c r="H6" s="4">
        <f>VLOOKUP($A$1,[3]resultados_integracion_partido_!$A$1:$AA$29,MATCH(H$2,[3]resultados_integracion_partido_!$A$1:$AA$1,0),FALSE)</f>
        <v>1</v>
      </c>
      <c r="I6" s="4">
        <f>VLOOKUP($A$1,[3]resultados_integracion_partido_!$A$1:$AA$29,MATCH(I$2,[3]resultados_integracion_partido_!$A$1:$AA$1,0),FALSE)</f>
        <v>1</v>
      </c>
      <c r="J6" s="4">
        <f>VLOOKUP($A$1,[3]resultados_integracion_partido_!$A$1:$AA$29,MATCH(J$2,[3]resultados_integracion_partido_!$A$1:$AA$1,0),FALSE)</f>
        <v>1</v>
      </c>
      <c r="K6" s="4">
        <f>VLOOKUP($A$1,[3]resultados_integracion_partido_!$A$1:$AA$29,MATCH(K$2,[3]resultados_integracion_partido_!$A$1:$AA$1,0),FALSE)</f>
        <v>1</v>
      </c>
    </row>
    <row r="7" spans="1:11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0</v>
      </c>
      <c r="G7" s="4">
        <f>VLOOKUP($A$1,[4]resultados_integracion_partido_!$A$1:$AA$29,MATCH(G$2,[4]resultados_integracion_partido_!$A$1:$AA$1,0),FALSE)</f>
        <v>1</v>
      </c>
      <c r="H7" s="4">
        <f>VLOOKUP($A$1,[4]resultados_integracion_partido_!$A$1:$AA$29,MATCH(H$2,[4]resultados_integracion_partido_!$A$1:$AA$1,0),FALSE)</f>
        <v>1</v>
      </c>
      <c r="I7" s="4">
        <f>VLOOKUP($A$1,[4]resultados_integracion_partido_!$A$1:$AA$29,MATCH(I$2,[4]resultados_integracion_partido_!$A$1:$AA$1,0),FALSE)</f>
        <v>1</v>
      </c>
      <c r="J7" s="4">
        <f>VLOOKUP($A$1,[4]resultados_integracion_partido_!$A$1:$AA$29,MATCH(J$2,[4]resultados_integracion_partido_!$A$1:$AA$1,0),FALSE)</f>
        <v>1</v>
      </c>
      <c r="K7" s="4">
        <f>VLOOKUP($A$1,[4]resultados_integracion_partido_!$A$1:$AA$29,MATCH(K$2,[4]resultados_integracion_partido_!$A$1:$AA$1,0),FALSE)</f>
        <v>1</v>
      </c>
    </row>
    <row r="8" spans="1:11" x14ac:dyDescent="0.35">
      <c r="B8" s="1" t="s">
        <v>5</v>
      </c>
      <c r="C8" s="4">
        <f>VLOOKUP($A$1,[5]resultados_integracion_partido_!$A$1:$AA$29,MATCH(C$2,[5]resultados_integracion_partido_!$A$1:$AA$1,0),FALSE)</f>
        <v>1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1</v>
      </c>
      <c r="I8" s="4">
        <f>VLOOKUP($A$1,[5]resultados_integracion_partido_!$A$1:$AA$29,MATCH(I$2,[5]resultados_integracion_partido_!$A$1:$AA$1,0),FALSE)</f>
        <v>0</v>
      </c>
      <c r="J8" s="4">
        <f>VLOOKUP($A$1,[5]resultados_integracion_partido_!$A$1:$AA$29,MATCH(J$2,[5]resultados_integracion_partido_!$A$1:$AA$1,0),FALSE)</f>
        <v>1</v>
      </c>
      <c r="K8" s="4">
        <f>VLOOKUP($A$1,[5]resultados_integracion_partido_!$A$1:$AA$29,MATCH(K$2,[5]resultados_integracion_partido_!$A$1:$AA$1,0),FALSE)</f>
        <v>1</v>
      </c>
    </row>
    <row r="9" spans="1:11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0</v>
      </c>
      <c r="G9" s="4">
        <f>VLOOKUP($A$1,[6]resultados_integracion_partido_!$A$1:$AA$29,MATCH(G$2,[6]resultados_integracion_partido_!$A$1:$AA$1,0),FALSE)</f>
        <v>1</v>
      </c>
      <c r="H9" s="4">
        <f>VLOOKUP($A$1,[6]resultados_integracion_partido_!$A$1:$AA$29,MATCH(H$2,[6]resultados_integracion_partido_!$A$1:$AA$1,0),FALSE)</f>
        <v>1</v>
      </c>
      <c r="I9" s="4">
        <f>VLOOKUP($A$1,[6]resultados_integracion_partido_!$A$1:$AA$29,MATCH(I$2,[6]resultados_integracion_partido_!$A$1:$AA$1,0),FALSE)</f>
        <v>1</v>
      </c>
      <c r="J9" s="4">
        <f>VLOOKUP($A$1,[6]resultados_integracion_partido_!$A$1:$AA$29,MATCH(J$2,[6]resultados_integracion_partido_!$A$1:$AA$1,0),FALSE)</f>
        <v>1</v>
      </c>
      <c r="K9" s="4">
        <f>VLOOKUP($A$1,[6]resultados_integracion_partido_!$A$1:$AA$29,MATCH(K$2,[6]resultados_integracion_partido_!$A$1:$AA$1,0),FALSE)</f>
        <v>1</v>
      </c>
    </row>
    <row r="10" spans="1:11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1</v>
      </c>
      <c r="H10" s="4">
        <f>VLOOKUP($A$1,[7]resultados_integracion_partido_!$A$1:$AA$29,MATCH(H$2,[7]resultados_integracion_partido_!$A$1:$AA$1,0),FALSE)</f>
        <v>1</v>
      </c>
      <c r="I10" s="4">
        <f>VLOOKUP($A$1,[7]resultados_integracion_partido_!$A$1:$AA$29,MATCH(I$2,[7]resultados_integracion_partido_!$A$1:$AA$1,0),FALSE)</f>
        <v>1</v>
      </c>
      <c r="J10" s="4">
        <f>VLOOKUP($A$1,[7]resultados_integracion_partido_!$A$1:$AA$29,MATCH(J$2,[7]resultados_integracion_partido_!$A$1:$AA$1,0),FALSE)</f>
        <v>1</v>
      </c>
      <c r="K10" s="4">
        <f>VLOOKUP($A$1,[7]resultados_integracion_partido_!$A$1:$AA$29,MATCH(K$2,[7]resultados_integracion_partido_!$A$1:$AA$1,0),FALSE)</f>
        <v>1</v>
      </c>
    </row>
    <row r="11" spans="1:11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0</v>
      </c>
      <c r="F11" s="4">
        <f>VLOOKUP($A$1,[8]resultados_integracion_partido_!$A$1:$AA$29,MATCH(F$2,[8]resultados_integracion_partido_!$A$1:$AA$1,0),FALSE)</f>
        <v>1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1</v>
      </c>
      <c r="I11" s="4">
        <f>VLOOKUP($A$1,[8]resultados_integracion_partido_!$A$1:$AA$29,MATCH(I$2,[8]resultados_integracion_partido_!$A$1:$AA$1,0),FALSE)</f>
        <v>1</v>
      </c>
      <c r="J11" s="4">
        <f>VLOOKUP($A$1,[8]resultados_integracion_partido_!$A$1:$AA$29,MATCH(J$2,[8]resultados_integracion_partido_!$A$1:$AA$1,0),FALSE)</f>
        <v>0</v>
      </c>
      <c r="K11" s="4">
        <f>VLOOKUP($A$1,[8]resultados_integracion_partido_!$A$1:$AA$29,MATCH(K$2,[8]resultados_integracion_partido_!$A$1:$AA$1,0),FALSE)</f>
        <v>1</v>
      </c>
    </row>
    <row r="12" spans="1:11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0</v>
      </c>
      <c r="F12" s="4">
        <f>VLOOKUP($A$1,[9]resultados_integracion_partido_!$A$1:$AA$29,MATCH(F$2,[9]resultados_integracion_partido_!$A$1:$AA$1,0),FALSE)</f>
        <v>1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1</v>
      </c>
      <c r="I12" s="4">
        <f>VLOOKUP($A$1,[9]resultados_integracion_partido_!$A$1:$AA$29,MATCH(I$2,[9]resultados_integracion_partido_!$A$1:$AA$1,0),FALSE)</f>
        <v>1</v>
      </c>
      <c r="J12" s="4">
        <f>VLOOKUP($A$1,[9]resultados_integracion_partido_!$A$1:$AA$29,MATCH(J$2,[9]resultados_integracion_partido_!$A$1:$AA$1,0),FALSE)</f>
        <v>0</v>
      </c>
      <c r="K12" s="4">
        <f>VLOOKUP($A$1,[9]resultados_integracion_partido_!$A$1:$AA$29,MATCH(K$2,[9]resultados_integracion_partido_!$A$1:$AA$1,0),FALSE)</f>
        <v>1</v>
      </c>
    </row>
    <row r="13" spans="1:11" ht="15" thickBot="1" x14ac:dyDescent="0.4"/>
    <row r="14" spans="1:11" ht="14.5" customHeight="1" x14ac:dyDescent="0.35">
      <c r="B14" s="28" t="s">
        <v>64</v>
      </c>
      <c r="C14" s="29"/>
      <c r="D14" s="29"/>
      <c r="E14" s="29"/>
      <c r="F14" s="29"/>
      <c r="G14" s="29"/>
      <c r="H14" s="29"/>
      <c r="I14" s="29"/>
      <c r="J14" s="29"/>
      <c r="K14" s="30"/>
    </row>
    <row r="15" spans="1:11" x14ac:dyDescent="0.35">
      <c r="B15" s="31"/>
      <c r="C15" s="32"/>
      <c r="D15" s="32"/>
      <c r="E15" s="32"/>
      <c r="F15" s="32"/>
      <c r="G15" s="32"/>
      <c r="H15" s="32"/>
      <c r="I15" s="32"/>
      <c r="J15" s="32"/>
      <c r="K15" s="33"/>
    </row>
    <row r="16" spans="1:11" x14ac:dyDescent="0.35">
      <c r="B16" s="31"/>
      <c r="C16" s="32"/>
      <c r="D16" s="32"/>
      <c r="E16" s="32"/>
      <c r="F16" s="32"/>
      <c r="G16" s="32"/>
      <c r="H16" s="32"/>
      <c r="I16" s="32"/>
      <c r="J16" s="32"/>
      <c r="K16" s="33"/>
    </row>
    <row r="17" spans="2:11" x14ac:dyDescent="0.35">
      <c r="B17" s="31"/>
      <c r="C17" s="32"/>
      <c r="D17" s="32"/>
      <c r="E17" s="32"/>
      <c r="F17" s="32"/>
      <c r="G17" s="32"/>
      <c r="H17" s="32"/>
      <c r="I17" s="32"/>
      <c r="J17" s="32"/>
      <c r="K17" s="33"/>
    </row>
    <row r="18" spans="2:11" x14ac:dyDescent="0.35">
      <c r="B18" s="31"/>
      <c r="C18" s="32"/>
      <c r="D18" s="32"/>
      <c r="E18" s="32"/>
      <c r="F18" s="32"/>
      <c r="G18" s="32"/>
      <c r="H18" s="32"/>
      <c r="I18" s="32"/>
      <c r="J18" s="32"/>
      <c r="K18" s="33"/>
    </row>
    <row r="19" spans="2:11" x14ac:dyDescent="0.35">
      <c r="B19" s="31"/>
      <c r="C19" s="32"/>
      <c r="D19" s="32"/>
      <c r="E19" s="32"/>
      <c r="F19" s="32"/>
      <c r="G19" s="32"/>
      <c r="H19" s="32"/>
      <c r="I19" s="32"/>
      <c r="J19" s="32"/>
      <c r="K19" s="33"/>
    </row>
    <row r="20" spans="2:11" x14ac:dyDescent="0.35">
      <c r="B20" s="31"/>
      <c r="C20" s="32"/>
      <c r="D20" s="32"/>
      <c r="E20" s="32"/>
      <c r="F20" s="32"/>
      <c r="G20" s="32"/>
      <c r="H20" s="32"/>
      <c r="I20" s="32"/>
      <c r="J20" s="32"/>
      <c r="K20" s="33"/>
    </row>
    <row r="21" spans="2:11" x14ac:dyDescent="0.35">
      <c r="B21" s="31"/>
      <c r="C21" s="32"/>
      <c r="D21" s="32"/>
      <c r="E21" s="32"/>
      <c r="F21" s="32"/>
      <c r="G21" s="32"/>
      <c r="H21" s="32"/>
      <c r="I21" s="32"/>
      <c r="J21" s="32"/>
      <c r="K21" s="33"/>
    </row>
    <row r="22" spans="2:11" x14ac:dyDescent="0.35">
      <c r="B22" s="31"/>
      <c r="C22" s="32"/>
      <c r="D22" s="32"/>
      <c r="E22" s="32"/>
      <c r="F22" s="32"/>
      <c r="G22" s="32"/>
      <c r="H22" s="32"/>
      <c r="I22" s="32"/>
      <c r="J22" s="32"/>
      <c r="K22" s="33"/>
    </row>
    <row r="23" spans="2:11" ht="17.5" customHeight="1" thickBot="1" x14ac:dyDescent="0.4">
      <c r="B23" s="34"/>
      <c r="C23" s="35"/>
      <c r="D23" s="35"/>
      <c r="E23" s="35"/>
      <c r="F23" s="35"/>
      <c r="G23" s="35"/>
      <c r="H23" s="35"/>
      <c r="I23" s="35"/>
      <c r="J23" s="35"/>
      <c r="K23" s="36"/>
    </row>
  </sheetData>
  <mergeCells count="1">
    <mergeCell ref="B14:K2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9B40-470A-4DE1-8AB1-26EEC2BE06FE}">
  <dimension ref="A1:I23"/>
  <sheetViews>
    <sheetView showGridLines="0" topLeftCell="A7" workbookViewId="0">
      <selection activeCell="B24" sqref="B24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3" width="6.90625" bestFit="1" customWidth="1"/>
    <col min="4" max="7" width="5.90625" bestFit="1" customWidth="1"/>
    <col min="8" max="8" width="6.90625" bestFit="1" customWidth="1"/>
    <col min="9" max="9" width="5.90625" bestFit="1" customWidth="1"/>
    <col min="11" max="11" width="16.26953125" customWidth="1"/>
    <col min="12" max="12" width="47.6328125" customWidth="1"/>
  </cols>
  <sheetData>
    <row r="1" spans="1:9" x14ac:dyDescent="0.35">
      <c r="A1" s="27">
        <v>9</v>
      </c>
    </row>
    <row r="2" spans="1:9" x14ac:dyDescent="0.35">
      <c r="B2" s="2" t="s">
        <v>0</v>
      </c>
      <c r="C2" s="2" t="s">
        <v>11</v>
      </c>
      <c r="D2" s="2" t="s">
        <v>14</v>
      </c>
      <c r="E2" s="2" t="s">
        <v>62</v>
      </c>
      <c r="F2" s="2" t="s">
        <v>15</v>
      </c>
      <c r="G2" s="2" t="s">
        <v>23</v>
      </c>
      <c r="H2" s="2" t="s">
        <v>60</v>
      </c>
      <c r="I2" s="2" t="s">
        <v>20</v>
      </c>
    </row>
    <row r="3" spans="1:9" x14ac:dyDescent="0.35">
      <c r="B3" s="1" t="s">
        <v>1</v>
      </c>
      <c r="C3" s="3">
        <v>0</v>
      </c>
      <c r="D3" s="3">
        <v>1</v>
      </c>
      <c r="E3" s="3">
        <v>1</v>
      </c>
      <c r="F3" s="3">
        <v>1</v>
      </c>
      <c r="G3" s="3">
        <v>0</v>
      </c>
      <c r="H3" s="3">
        <v>1</v>
      </c>
      <c r="I3" s="3">
        <v>1</v>
      </c>
    </row>
    <row r="4" spans="1:9" x14ac:dyDescent="0.35">
      <c r="B4" s="5" t="s">
        <v>28</v>
      </c>
      <c r="C4" s="6">
        <f>VLOOKUP($A$1,[1]resultados_proyectados_proporci!$A$1:$AA$29,MATCH(C$2,[1]resultados_proyectados_proporci!$A$1:$AA$1,0),FALSE)</f>
        <v>7.3330026059404294E-2</v>
      </c>
      <c r="D4" s="6">
        <f>VLOOKUP($A$1,[1]resultados_proyectados_proporci!$A$1:$AA$29,MATCH(D$2,[1]resultados_proyectados_proporci!$A$1:$AA$1,0),FALSE)</f>
        <v>4.2564402779173498E-2</v>
      </c>
      <c r="E4" s="6">
        <f>VLOOKUP($A$1,[1]resultados_proyectados_proporci!$A$1:$AA$29,MATCH(E$2,[1]resultados_proyectados_proporci!$A$1:$AA$1,0),FALSE)</f>
        <v>1.4756450114664499E-2</v>
      </c>
      <c r="F4" s="6">
        <f>VLOOKUP($A$1,[1]resultados_proyectados_proporci!$A$1:$AA$29,MATCH(F$2,[1]resultados_proyectados_proporci!$A$1:$AA$1,0),FALSE)</f>
        <v>9.0234874937722698E-2</v>
      </c>
      <c r="G4" s="6">
        <f>VLOOKUP($A$1,[1]resultados_proyectados_proporci!$A$1:$AA$29,MATCH(G$2,[1]resultados_proyectados_proporci!$A$1:$AA$1,0),FALSE)</f>
        <v>6.3577024123426099E-2</v>
      </c>
      <c r="H4" s="6">
        <f>VLOOKUP($A$1,[1]resultados_proyectados_proporci!$A$1:$AA$29,MATCH(H$2,[1]resultados_proyectados_proporci!$A$1:$AA$1,0),FALSE)</f>
        <v>9.8662574579824594E-2</v>
      </c>
      <c r="I4" s="6">
        <f>VLOOKUP($A$1,[1]resultados_proyectados_proporci!$A$1:$AA$29,MATCH(I$2,[1]resultados_proyectados_proporci!$A$1:$AA$1,0),FALSE)</f>
        <v>2.94376624060258E-2</v>
      </c>
    </row>
    <row r="5" spans="1:9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1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2</v>
      </c>
      <c r="G5" s="4">
        <f>VLOOKUP($A$1,[2]resultados_integracion_partido_!$A$1:$AA$29,MATCH(G$2,[2]resultados_integracion_partido_!$A$1:$AA$1,0),FALSE)</f>
        <v>1</v>
      </c>
      <c r="H5" s="4">
        <f>VLOOKUP($A$1,[2]resultados_integracion_partido_!$A$1:$AA$29,MATCH(H$2,[2]resultados_integracion_partido_!$A$1:$AA$1,0),FALSE)</f>
        <v>1</v>
      </c>
      <c r="I5" s="4">
        <f>VLOOKUP($A$1,[2]resultados_integracion_partido_!$A$1:$AA$29,MATCH(I$2,[2]resultados_integracion_partido_!$A$1:$AA$1,0),FALSE)</f>
        <v>0</v>
      </c>
    </row>
    <row r="6" spans="1:9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1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1</v>
      </c>
      <c r="G6" s="4">
        <f>VLOOKUP($A$1,[3]resultados_integracion_partido_!$A$1:$AA$29,MATCH(G$2,[3]resultados_integracion_partido_!$A$1:$AA$1,0),FALSE)</f>
        <v>1</v>
      </c>
      <c r="H6" s="4">
        <f>VLOOKUP($A$1,[3]resultados_integracion_partido_!$A$1:$AA$29,MATCH(H$2,[3]resultados_integracion_partido_!$A$1:$AA$1,0),FALSE)</f>
        <v>1</v>
      </c>
      <c r="I6" s="4">
        <f>VLOOKUP($A$1,[3]resultados_integracion_partido_!$A$1:$AA$29,MATCH(I$2,[3]resultados_integracion_partido_!$A$1:$AA$1,0),FALSE)</f>
        <v>1</v>
      </c>
    </row>
    <row r="7" spans="1:9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1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1</v>
      </c>
      <c r="G7" s="4">
        <f>VLOOKUP($A$1,[4]resultados_integracion_partido_!$A$1:$AA$29,MATCH(G$2,[4]resultados_integracion_partido_!$A$1:$AA$1,0),FALSE)</f>
        <v>1</v>
      </c>
      <c r="H7" s="4">
        <f>VLOOKUP($A$1,[4]resultados_integracion_partido_!$A$1:$AA$29,MATCH(H$2,[4]resultados_integracion_partido_!$A$1:$AA$1,0),FALSE)</f>
        <v>1</v>
      </c>
      <c r="I7" s="4">
        <f>VLOOKUP($A$1,[4]resultados_integracion_partido_!$A$1:$AA$29,MATCH(I$2,[4]resultados_integracion_partido_!$A$1:$AA$1,0),FALSE)</f>
        <v>1</v>
      </c>
    </row>
    <row r="8" spans="1:9" x14ac:dyDescent="0.35">
      <c r="B8" s="1" t="s">
        <v>5</v>
      </c>
      <c r="C8" s="4">
        <f>VLOOKUP($A$1,[5]resultados_integracion_partido_!$A$1:$AA$29,MATCH(C$2,[5]resultados_integracion_partido_!$A$1:$AA$1,0),FALSE)</f>
        <v>1</v>
      </c>
      <c r="D8" s="4">
        <f>VLOOKUP($A$1,[5]resultados_integracion_partido_!$A$1:$AA$29,MATCH(D$2,[5]resultados_integracion_partido_!$A$1:$AA$1,0),FALSE)</f>
        <v>1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1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1</v>
      </c>
      <c r="I8" s="4">
        <f>VLOOKUP($A$1,[5]resultados_integracion_partido_!$A$1:$AA$29,MATCH(I$2,[5]resultados_integracion_partido_!$A$1:$AA$1,0),FALSE)</f>
        <v>0</v>
      </c>
    </row>
    <row r="9" spans="1:9" x14ac:dyDescent="0.35">
      <c r="B9" s="1" t="s">
        <v>31</v>
      </c>
      <c r="C9" s="4">
        <f>VLOOKUP($A$1,[6]resultados_integracion_partido_!$A$1:$AA$29,MATCH(C$2,[6]resultados_integracion_partido_!$A$1:$AA$1,0),FALSE)</f>
        <v>1</v>
      </c>
      <c r="D9" s="4">
        <f>VLOOKUP($A$1,[6]resultados_integracion_partido_!$A$1:$AA$29,MATCH(D$2,[6]resultados_integracion_partido_!$A$1:$AA$1,0),FALSE)</f>
        <v>1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1</v>
      </c>
      <c r="G9" s="4">
        <f>VLOOKUP($A$1,[6]resultados_integracion_partido_!$A$1:$AA$29,MATCH(G$2,[6]resultados_integracion_partido_!$A$1:$AA$1,0),FALSE)</f>
        <v>1</v>
      </c>
      <c r="H9" s="4">
        <f>VLOOKUP($A$1,[6]resultados_integracion_partido_!$A$1:$AA$29,MATCH(H$2,[6]resultados_integracion_partido_!$A$1:$AA$1,0),FALSE)</f>
        <v>1</v>
      </c>
      <c r="I9" s="4">
        <f>VLOOKUP($A$1,[6]resultados_integracion_partido_!$A$1:$AA$29,MATCH(I$2,[6]resultados_integracion_partido_!$A$1:$AA$1,0),FALSE)</f>
        <v>0</v>
      </c>
    </row>
    <row r="10" spans="1:9" x14ac:dyDescent="0.35">
      <c r="B10" s="1" t="s">
        <v>32</v>
      </c>
      <c r="C10" s="4">
        <f>VLOOKUP($A$1,[7]resultados_integracion_partido_!$A$1:$AA$29,MATCH(C$2,[7]resultados_integracion_partido_!$A$1:$AA$1,0),FALSE)</f>
        <v>1</v>
      </c>
      <c r="D10" s="4">
        <f>VLOOKUP($A$1,[7]resultados_integracion_partido_!$A$1:$AA$29,MATCH(D$2,[7]resultados_integracion_partido_!$A$1:$AA$1,0),FALSE)</f>
        <v>1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1</v>
      </c>
      <c r="G10" s="4">
        <f>VLOOKUP($A$1,[7]resultados_integracion_partido_!$A$1:$AA$29,MATCH(G$2,[7]resultados_integracion_partido_!$A$1:$AA$1,0),FALSE)</f>
        <v>1</v>
      </c>
      <c r="H10" s="4">
        <f>VLOOKUP($A$1,[7]resultados_integracion_partido_!$A$1:$AA$29,MATCH(H$2,[7]resultados_integracion_partido_!$A$1:$AA$1,0),FALSE)</f>
        <v>1</v>
      </c>
      <c r="I10" s="4">
        <f>VLOOKUP($A$1,[7]resultados_integracion_partido_!$A$1:$AA$29,MATCH(I$2,[7]resultados_integracion_partido_!$A$1:$AA$1,0),FALSE)</f>
        <v>0</v>
      </c>
    </row>
    <row r="11" spans="1:9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1</v>
      </c>
      <c r="E11" s="4">
        <f>VLOOKUP($A$1,[8]resultados_integracion_partido_!$A$1:$AA$29,MATCH(E$2,[8]resultados_integracion_partido_!$A$1:$AA$1,0),FALSE)</f>
        <v>0</v>
      </c>
      <c r="F11" s="4">
        <f>VLOOKUP($A$1,[8]resultados_integracion_partido_!$A$1:$AA$29,MATCH(F$2,[8]resultados_integracion_partido_!$A$1:$AA$1,0),FALSE)</f>
        <v>1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1</v>
      </c>
      <c r="I11" s="4">
        <f>VLOOKUP($A$1,[8]resultados_integracion_partido_!$A$1:$AA$29,MATCH(I$2,[8]resultados_integracion_partido_!$A$1:$AA$1,0),FALSE)</f>
        <v>1</v>
      </c>
    </row>
    <row r="12" spans="1:9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1</v>
      </c>
      <c r="E12" s="4">
        <f>VLOOKUP($A$1,[9]resultados_integracion_partido_!$A$1:$AA$29,MATCH(E$2,[9]resultados_integracion_partido_!$A$1:$AA$1,0),FALSE)</f>
        <v>0</v>
      </c>
      <c r="F12" s="4">
        <f>VLOOKUP($A$1,[9]resultados_integracion_partido_!$A$1:$AA$29,MATCH(F$2,[9]resultados_integracion_partido_!$A$1:$AA$1,0),FALSE)</f>
        <v>1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1</v>
      </c>
      <c r="I12" s="4">
        <f>VLOOKUP($A$1,[9]resultados_integracion_partido_!$A$1:$AA$29,MATCH(I$2,[9]resultados_integracion_partido_!$A$1:$AA$1,0),FALSE)</f>
        <v>1</v>
      </c>
    </row>
    <row r="13" spans="1:9" ht="15" thickBot="1" x14ac:dyDescent="0.4"/>
    <row r="14" spans="1:9" ht="14.5" customHeight="1" x14ac:dyDescent="0.35">
      <c r="B14" s="28" t="s">
        <v>64</v>
      </c>
      <c r="C14" s="29"/>
      <c r="D14" s="29"/>
      <c r="E14" s="29"/>
      <c r="F14" s="29"/>
      <c r="G14" s="29"/>
      <c r="H14" s="29"/>
      <c r="I14" s="30"/>
    </row>
    <row r="15" spans="1:9" x14ac:dyDescent="0.35">
      <c r="B15" s="31"/>
      <c r="C15" s="32"/>
      <c r="D15" s="32"/>
      <c r="E15" s="32"/>
      <c r="F15" s="32"/>
      <c r="G15" s="32"/>
      <c r="H15" s="32"/>
      <c r="I15" s="33"/>
    </row>
    <row r="16" spans="1:9" x14ac:dyDescent="0.35">
      <c r="B16" s="31"/>
      <c r="C16" s="32"/>
      <c r="D16" s="32"/>
      <c r="E16" s="32"/>
      <c r="F16" s="32"/>
      <c r="G16" s="32"/>
      <c r="H16" s="32"/>
      <c r="I16" s="33"/>
    </row>
    <row r="17" spans="2:9" x14ac:dyDescent="0.35">
      <c r="B17" s="31"/>
      <c r="C17" s="32"/>
      <c r="D17" s="32"/>
      <c r="E17" s="32"/>
      <c r="F17" s="32"/>
      <c r="G17" s="32"/>
      <c r="H17" s="32"/>
      <c r="I17" s="33"/>
    </row>
    <row r="18" spans="2:9" x14ac:dyDescent="0.35">
      <c r="B18" s="31"/>
      <c r="C18" s="32"/>
      <c r="D18" s="32"/>
      <c r="E18" s="32"/>
      <c r="F18" s="32"/>
      <c r="G18" s="32"/>
      <c r="H18" s="32"/>
      <c r="I18" s="33"/>
    </row>
    <row r="19" spans="2:9" x14ac:dyDescent="0.35">
      <c r="B19" s="31"/>
      <c r="C19" s="32"/>
      <c r="D19" s="32"/>
      <c r="E19" s="32"/>
      <c r="F19" s="32"/>
      <c r="G19" s="32"/>
      <c r="H19" s="32"/>
      <c r="I19" s="33"/>
    </row>
    <row r="20" spans="2:9" x14ac:dyDescent="0.35">
      <c r="B20" s="31"/>
      <c r="C20" s="32"/>
      <c r="D20" s="32"/>
      <c r="E20" s="32"/>
      <c r="F20" s="32"/>
      <c r="G20" s="32"/>
      <c r="H20" s="32"/>
      <c r="I20" s="33"/>
    </row>
    <row r="21" spans="2:9" x14ac:dyDescent="0.35">
      <c r="B21" s="31"/>
      <c r="C21" s="32"/>
      <c r="D21" s="32"/>
      <c r="E21" s="32"/>
      <c r="F21" s="32"/>
      <c r="G21" s="32"/>
      <c r="H21" s="32"/>
      <c r="I21" s="33"/>
    </row>
    <row r="22" spans="2:9" x14ac:dyDescent="0.35">
      <c r="B22" s="31"/>
      <c r="C22" s="32"/>
      <c r="D22" s="32"/>
      <c r="E22" s="32"/>
      <c r="F22" s="32"/>
      <c r="G22" s="32"/>
      <c r="H22" s="32"/>
      <c r="I22" s="33"/>
    </row>
    <row r="23" spans="2:9" ht="67.5" customHeight="1" thickBot="1" x14ac:dyDescent="0.4">
      <c r="B23" s="34"/>
      <c r="C23" s="35"/>
      <c r="D23" s="35"/>
      <c r="E23" s="35"/>
      <c r="F23" s="35"/>
      <c r="G23" s="35"/>
      <c r="H23" s="35"/>
      <c r="I23" s="36"/>
    </row>
  </sheetData>
  <mergeCells count="1">
    <mergeCell ref="B14:I2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0C85-64F4-4D82-8FA2-89FE65C5C7BA}">
  <dimension ref="A1:H23"/>
  <sheetViews>
    <sheetView showGridLines="0" zoomScaleNormal="100" workbookViewId="0">
      <selection activeCell="I35" sqref="I35"/>
    </sheetView>
  </sheetViews>
  <sheetFormatPr baseColWidth="10" defaultRowHeight="14.5" x14ac:dyDescent="0.35"/>
  <cols>
    <col min="1" max="1" width="2.81640625" bestFit="1" customWidth="1"/>
    <col min="2" max="2" width="19.36328125" bestFit="1" customWidth="1"/>
    <col min="3" max="3" width="6.90625" bestFit="1" customWidth="1"/>
    <col min="4" max="5" width="5.90625" bestFit="1" customWidth="1"/>
    <col min="6" max="7" width="6.90625" bestFit="1" customWidth="1"/>
    <col min="8" max="8" width="6.08984375" customWidth="1"/>
    <col min="10" max="10" width="16.26953125" customWidth="1"/>
    <col min="11" max="11" width="45.81640625" customWidth="1"/>
  </cols>
  <sheetData>
    <row r="1" spans="1:8" x14ac:dyDescent="0.35">
      <c r="A1" s="27">
        <v>11</v>
      </c>
    </row>
    <row r="2" spans="1:8" x14ac:dyDescent="0.35">
      <c r="B2" s="2" t="s">
        <v>0</v>
      </c>
      <c r="C2" s="2" t="s">
        <v>11</v>
      </c>
      <c r="D2" s="2" t="s">
        <v>14</v>
      </c>
      <c r="E2" s="2" t="s">
        <v>22</v>
      </c>
      <c r="F2" s="2" t="s">
        <v>15</v>
      </c>
      <c r="G2" s="2" t="s">
        <v>23</v>
      </c>
      <c r="H2" s="2" t="s">
        <v>20</v>
      </c>
    </row>
    <row r="3" spans="1:8" x14ac:dyDescent="0.35">
      <c r="B3" s="1" t="s">
        <v>1</v>
      </c>
      <c r="C3" s="3">
        <v>0</v>
      </c>
      <c r="D3" s="3">
        <v>1</v>
      </c>
      <c r="E3" s="3">
        <v>0</v>
      </c>
      <c r="F3" s="3">
        <v>0</v>
      </c>
      <c r="G3" s="3">
        <v>1</v>
      </c>
      <c r="H3" s="3">
        <v>0</v>
      </c>
    </row>
    <row r="4" spans="1:8" x14ac:dyDescent="0.35">
      <c r="B4" s="5" t="s">
        <v>29</v>
      </c>
      <c r="C4" s="6">
        <f>VLOOKUP($A$1,[1]resultados_proyectados_proporci!$A$1:$AA$29,MATCH(C$2,[1]resultados_proyectados_proporci!$A$1:$AA$1,0),FALSE)</f>
        <v>7.3323367201982695E-2</v>
      </c>
      <c r="D4" s="6">
        <f>VLOOKUP($A$1,[1]resultados_proyectados_proporci!$A$1:$AA$29,MATCH(D$2,[1]resultados_proyectados_proporci!$A$1:$AA$1,0),FALSE)</f>
        <v>2.21673730481813E-2</v>
      </c>
      <c r="E4" s="6">
        <f>VLOOKUP($A$1,[1]resultados_proyectados_proporci!$A$1:$AA$29,MATCH(E$2,[1]resultados_proyectados_proporci!$A$1:$AA$1,0),FALSE)</f>
        <v>3.1460053854577397E-2</v>
      </c>
      <c r="F4" s="6">
        <f>VLOOKUP($A$1,[1]resultados_proyectados_proporci!$A$1:$AA$29,MATCH(F$2,[1]resultados_proyectados_proporci!$A$1:$AA$1,0),FALSE)</f>
        <v>0.13494672647125999</v>
      </c>
      <c r="G4" s="6">
        <f>VLOOKUP($A$1,[1]resultados_proyectados_proporci!$A$1:$AA$29,MATCH(G$2,[1]resultados_proyectados_proporci!$A$1:$AA$1,0),FALSE)</f>
        <v>0.126999385581269</v>
      </c>
      <c r="H4" s="6">
        <f>VLOOKUP($A$1,[1]resultados_proyectados_proporci!$A$1:$AA$29,MATCH(H$2,[1]resultados_proyectados_proporci!$A$1:$AA$1,0),FALSE)</f>
        <v>3.13605291436162E-2</v>
      </c>
    </row>
    <row r="5" spans="1:8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1</v>
      </c>
      <c r="G5" s="4">
        <f>VLOOKUP($A$1,[2]resultados_integracion_partido_!$A$1:$AA$29,MATCH(G$2,[2]resultados_integracion_partido_!$A$1:$AA$1,0),FALSE)</f>
        <v>1</v>
      </c>
      <c r="H5" s="4">
        <f>VLOOKUP($A$1,[2]resultados_integracion_partido_!$A$1:$AA$29,MATCH(H$2,[2]resultados_integracion_partido_!$A$1:$AA$1,0),FALSE)</f>
        <v>0</v>
      </c>
    </row>
    <row r="6" spans="1:8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0</v>
      </c>
      <c r="G6" s="4">
        <f>VLOOKUP($A$1,[3]resultados_integracion_partido_!$A$1:$AA$29,MATCH(G$2,[3]resultados_integracion_partido_!$A$1:$AA$1,0),FALSE)</f>
        <v>1</v>
      </c>
      <c r="H6" s="4">
        <f>VLOOKUP($A$1,[3]resultados_integracion_partido_!$A$1:$AA$29,MATCH(H$2,[3]resultados_integracion_partido_!$A$1:$AA$1,0),FALSE)</f>
        <v>1</v>
      </c>
    </row>
    <row r="7" spans="1:8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0</v>
      </c>
      <c r="G7" s="4">
        <f>VLOOKUP($A$1,[4]resultados_integracion_partido_!$A$1:$AA$29,MATCH(G$2,[4]resultados_integracion_partido_!$A$1:$AA$1,0),FALSE)</f>
        <v>1</v>
      </c>
      <c r="H7" s="4">
        <f>VLOOKUP($A$1,[4]resultados_integracion_partido_!$A$1:$AA$29,MATCH(H$2,[4]resultados_integracion_partido_!$A$1:$AA$1,0),FALSE)</f>
        <v>1</v>
      </c>
    </row>
    <row r="8" spans="1:8" x14ac:dyDescent="0.35">
      <c r="B8" s="1" t="s">
        <v>5</v>
      </c>
      <c r="C8" s="4">
        <f>VLOOKUP($A$1,[5]resultados_integracion_partido_!$A$1:$AA$29,MATCH(C$2,[5]resultados_integracion_partido_!$A$1:$AA$1,0),FALSE)</f>
        <v>0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1</v>
      </c>
    </row>
    <row r="9" spans="1:8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0</v>
      </c>
      <c r="G9" s="4">
        <f>VLOOKUP($A$1,[6]resultados_integracion_partido_!$A$1:$AA$29,MATCH(G$2,[6]resultados_integracion_partido_!$A$1:$AA$1,0),FALSE)</f>
        <v>1</v>
      </c>
      <c r="H9" s="4">
        <f>VLOOKUP($A$1,[6]resultados_integracion_partido_!$A$1:$AA$29,MATCH(H$2,[6]resultados_integracion_partido_!$A$1:$AA$1,0),FALSE)</f>
        <v>1</v>
      </c>
    </row>
    <row r="10" spans="1:8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1</v>
      </c>
      <c r="H10" s="4">
        <f>VLOOKUP($A$1,[7]resultados_integracion_partido_!$A$1:$AA$29,MATCH(H$2,[7]resultados_integracion_partido_!$A$1:$AA$1,0),FALSE)</f>
        <v>1</v>
      </c>
    </row>
    <row r="11" spans="1:8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1</v>
      </c>
      <c r="F11" s="4">
        <f>VLOOKUP($A$1,[8]resultados_integracion_partido_!$A$1:$AA$29,MATCH(F$2,[8]resultados_integracion_partido_!$A$1:$AA$1,0),FALSE)</f>
        <v>0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0</v>
      </c>
    </row>
    <row r="12" spans="1:8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1</v>
      </c>
      <c r="F12" s="4">
        <f>VLOOKUP($A$1,[9]resultados_integracion_partido_!$A$1:$AA$29,MATCH(F$2,[9]resultados_integracion_partido_!$A$1:$AA$1,0),FALSE)</f>
        <v>0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0</v>
      </c>
    </row>
    <row r="13" spans="1:8" ht="15" thickBot="1" x14ac:dyDescent="0.4"/>
    <row r="14" spans="1:8" ht="14.5" customHeight="1" x14ac:dyDescent="0.35">
      <c r="B14" s="28" t="s">
        <v>64</v>
      </c>
      <c r="C14" s="29"/>
      <c r="D14" s="29"/>
      <c r="E14" s="29"/>
      <c r="F14" s="29"/>
      <c r="G14" s="29"/>
      <c r="H14" s="30"/>
    </row>
    <row r="15" spans="1:8" x14ac:dyDescent="0.35">
      <c r="B15" s="31"/>
      <c r="C15" s="32"/>
      <c r="D15" s="32"/>
      <c r="E15" s="32"/>
      <c r="F15" s="32"/>
      <c r="G15" s="32"/>
      <c r="H15" s="33"/>
    </row>
    <row r="16" spans="1:8" x14ac:dyDescent="0.35">
      <c r="B16" s="31"/>
      <c r="C16" s="32"/>
      <c r="D16" s="32"/>
      <c r="E16" s="32"/>
      <c r="F16" s="32"/>
      <c r="G16" s="32"/>
      <c r="H16" s="33"/>
    </row>
    <row r="17" spans="2:8" x14ac:dyDescent="0.35">
      <c r="B17" s="31"/>
      <c r="C17" s="32"/>
      <c r="D17" s="32"/>
      <c r="E17" s="32"/>
      <c r="F17" s="32"/>
      <c r="G17" s="32"/>
      <c r="H17" s="33"/>
    </row>
    <row r="18" spans="2:8" x14ac:dyDescent="0.35">
      <c r="B18" s="31"/>
      <c r="C18" s="32"/>
      <c r="D18" s="32"/>
      <c r="E18" s="32"/>
      <c r="F18" s="32"/>
      <c r="G18" s="32"/>
      <c r="H18" s="33"/>
    </row>
    <row r="19" spans="2:8" x14ac:dyDescent="0.35">
      <c r="B19" s="31"/>
      <c r="C19" s="32"/>
      <c r="D19" s="32"/>
      <c r="E19" s="32"/>
      <c r="F19" s="32"/>
      <c r="G19" s="32"/>
      <c r="H19" s="33"/>
    </row>
    <row r="20" spans="2:8" ht="74" customHeight="1" x14ac:dyDescent="0.35">
      <c r="B20" s="31"/>
      <c r="C20" s="32"/>
      <c r="D20" s="32"/>
      <c r="E20" s="32"/>
      <c r="F20" s="32"/>
      <c r="G20" s="32"/>
      <c r="H20" s="33"/>
    </row>
    <row r="21" spans="2:8" x14ac:dyDescent="0.35">
      <c r="B21" s="31"/>
      <c r="C21" s="32"/>
      <c r="D21" s="32"/>
      <c r="E21" s="32"/>
      <c r="F21" s="32"/>
      <c r="G21" s="32"/>
      <c r="H21" s="33"/>
    </row>
    <row r="22" spans="2:8" x14ac:dyDescent="0.35">
      <c r="B22" s="31"/>
      <c r="C22" s="32"/>
      <c r="D22" s="32"/>
      <c r="E22" s="32"/>
      <c r="F22" s="32"/>
      <c r="G22" s="32"/>
      <c r="H22" s="33"/>
    </row>
    <row r="23" spans="2:8" ht="10.5" customHeight="1" thickBot="1" x14ac:dyDescent="0.4">
      <c r="B23" s="34"/>
      <c r="C23" s="35"/>
      <c r="D23" s="35"/>
      <c r="E23" s="35"/>
      <c r="F23" s="35"/>
      <c r="G23" s="35"/>
      <c r="H23" s="36"/>
    </row>
  </sheetData>
  <mergeCells count="1">
    <mergeCell ref="B14:H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de Pactos</vt:lpstr>
      <vt:lpstr>C15</vt:lpstr>
      <vt:lpstr>C1</vt:lpstr>
      <vt:lpstr>C3</vt:lpstr>
      <vt:lpstr>C5</vt:lpstr>
      <vt:lpstr>C7</vt:lpstr>
      <vt:lpstr>C9</vt:lpstr>
      <vt:lpstr>C11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Zimmermann Rodríguez-Peña</dc:creator>
  <cp:lastModifiedBy>Iván Zimmermann Rodríguez-Peña</cp:lastModifiedBy>
  <cp:lastPrinted>2025-01-12T22:53:24Z</cp:lastPrinted>
  <dcterms:created xsi:type="dcterms:W3CDTF">2024-12-22T23:53:50Z</dcterms:created>
  <dcterms:modified xsi:type="dcterms:W3CDTF">2025-01-13T00:54:20Z</dcterms:modified>
</cp:coreProperties>
</file>