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be16ff5b34c21876/Documents/Trabajo/EstrategiaSur/Proyeccion-electoral-congreso/Resultados_correcciones/Entregable/"/>
    </mc:Choice>
  </mc:AlternateContent>
  <xr:revisionPtr revIDLastSave="1" documentId="13_ncr:1_{E6C686FC-F065-42BC-AF4E-B1E40E13F657}" xr6:coauthVersionLast="47" xr6:coauthVersionMax="47" xr10:uidLastSave="{B7AC02D1-C6CE-4F97-B34B-36DDC655A858}"/>
  <bookViews>
    <workbookView xWindow="-108" yWindow="-108" windowWidth="23256" windowHeight="12456" firstSheet="2" activeTab="16" xr2:uid="{85AAF8D7-1A96-46DE-A921-B4694576F524}"/>
  </bookViews>
  <sheets>
    <sheet name="Resumen de Pactos" sheetId="33" r:id="rId1"/>
    <sheet name="D3" sheetId="1" r:id="rId2"/>
    <sheet name="D5" sheetId="16" r:id="rId3"/>
    <sheet name="D6" sheetId="17" r:id="rId4"/>
    <sheet name="D7" sheetId="18" r:id="rId5"/>
    <sheet name="D8_1" sheetId="19" r:id="rId6"/>
    <sheet name="D8_2" sheetId="34" r:id="rId7"/>
    <sheet name="D9" sheetId="20" r:id="rId8"/>
    <sheet name="D10" sheetId="21" r:id="rId9"/>
    <sheet name="D13" sheetId="22" r:id="rId10"/>
    <sheet name="D15" sheetId="23" r:id="rId11"/>
    <sheet name="D16" sheetId="24" r:id="rId12"/>
    <sheet name="D21" sheetId="25" r:id="rId13"/>
    <sheet name="D23" sheetId="26" r:id="rId14"/>
    <sheet name="D24" sheetId="27" r:id="rId15"/>
    <sheet name="D26" sheetId="28" r:id="rId16"/>
    <sheet name="D28" sheetId="2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9" l="1"/>
  <c r="J14" i="34"/>
  <c r="J13" i="34"/>
  <c r="J12" i="34"/>
  <c r="J11" i="34"/>
  <c r="J10" i="34"/>
  <c r="J9" i="34"/>
  <c r="J8" i="34"/>
  <c r="J7" i="34"/>
  <c r="J6" i="34"/>
  <c r="J5" i="34"/>
  <c r="J4" i="34"/>
  <c r="K14" i="34"/>
  <c r="I14" i="34"/>
  <c r="H14" i="34"/>
  <c r="G14" i="34"/>
  <c r="F14" i="34"/>
  <c r="E14" i="34"/>
  <c r="D14" i="34"/>
  <c r="C14" i="34"/>
  <c r="K13" i="34"/>
  <c r="I13" i="34"/>
  <c r="H13" i="34"/>
  <c r="G13" i="34"/>
  <c r="F13" i="34"/>
  <c r="E13" i="34"/>
  <c r="D13" i="34"/>
  <c r="C13" i="34"/>
  <c r="K12" i="34"/>
  <c r="I12" i="34"/>
  <c r="H12" i="34"/>
  <c r="G12" i="34"/>
  <c r="F12" i="34"/>
  <c r="E12" i="34"/>
  <c r="D12" i="34"/>
  <c r="C12" i="34"/>
  <c r="K11" i="34"/>
  <c r="I11" i="34"/>
  <c r="H11" i="34"/>
  <c r="G11" i="34"/>
  <c r="F11" i="34"/>
  <c r="E11" i="34"/>
  <c r="D11" i="34"/>
  <c r="C11" i="34"/>
  <c r="K10" i="34"/>
  <c r="I10" i="34"/>
  <c r="H10" i="34"/>
  <c r="G10" i="34"/>
  <c r="F10" i="34"/>
  <c r="E10" i="34"/>
  <c r="D10" i="34"/>
  <c r="C10" i="34"/>
  <c r="K9" i="34"/>
  <c r="I9" i="34"/>
  <c r="H9" i="34"/>
  <c r="G9" i="34"/>
  <c r="F9" i="34"/>
  <c r="E9" i="34"/>
  <c r="D9" i="34"/>
  <c r="C9" i="34"/>
  <c r="K8" i="34"/>
  <c r="I8" i="34"/>
  <c r="H8" i="34"/>
  <c r="G8" i="34"/>
  <c r="F8" i="34"/>
  <c r="E8" i="34"/>
  <c r="D8" i="34"/>
  <c r="C8" i="34"/>
  <c r="K7" i="34"/>
  <c r="I7" i="34"/>
  <c r="H7" i="34"/>
  <c r="G7" i="34"/>
  <c r="F7" i="34"/>
  <c r="E7" i="34"/>
  <c r="D7" i="34"/>
  <c r="C7" i="34"/>
  <c r="K6" i="34"/>
  <c r="I6" i="34"/>
  <c r="H6" i="34"/>
  <c r="G6" i="34"/>
  <c r="F6" i="34"/>
  <c r="E6" i="34"/>
  <c r="D6" i="34"/>
  <c r="C6" i="34"/>
  <c r="K5" i="34"/>
  <c r="I5" i="34"/>
  <c r="H5" i="34"/>
  <c r="G5" i="34"/>
  <c r="F5" i="34"/>
  <c r="E5" i="34"/>
  <c r="D5" i="34"/>
  <c r="C5" i="34"/>
  <c r="K4" i="34"/>
  <c r="I4" i="34"/>
  <c r="H4" i="34"/>
  <c r="G4" i="34"/>
  <c r="F4" i="34"/>
  <c r="E4" i="34"/>
  <c r="D4" i="34"/>
  <c r="C4" i="34"/>
  <c r="J14" i="29"/>
  <c r="I14" i="29"/>
  <c r="H14" i="29"/>
  <c r="G14" i="29"/>
  <c r="F14" i="29"/>
  <c r="E14" i="29"/>
  <c r="D14" i="29"/>
  <c r="C14" i="29"/>
  <c r="J13" i="29"/>
  <c r="I13" i="29"/>
  <c r="H13" i="29"/>
  <c r="G13" i="29"/>
  <c r="F13" i="29"/>
  <c r="E13" i="29"/>
  <c r="D13" i="29"/>
  <c r="C13" i="29"/>
  <c r="J12" i="29"/>
  <c r="I12" i="29"/>
  <c r="H12" i="29"/>
  <c r="G12" i="29"/>
  <c r="F12" i="29"/>
  <c r="E12" i="29"/>
  <c r="D12" i="29"/>
  <c r="C12" i="29"/>
  <c r="J11" i="29"/>
  <c r="I11" i="29"/>
  <c r="H11" i="29"/>
  <c r="G11" i="29"/>
  <c r="F11" i="29"/>
  <c r="E11" i="29"/>
  <c r="D11" i="29"/>
  <c r="C11" i="29"/>
  <c r="J10" i="29"/>
  <c r="I10" i="29"/>
  <c r="H10" i="29"/>
  <c r="G10" i="29"/>
  <c r="F10" i="29"/>
  <c r="E10" i="29"/>
  <c r="D10" i="29"/>
  <c r="C10" i="29"/>
  <c r="J9" i="29"/>
  <c r="I9" i="29"/>
  <c r="H9" i="29"/>
  <c r="G9" i="29"/>
  <c r="F9" i="29"/>
  <c r="E9" i="29"/>
  <c r="D9" i="29"/>
  <c r="C9" i="29"/>
  <c r="J8" i="29"/>
  <c r="I8" i="29"/>
  <c r="H8" i="29"/>
  <c r="G8" i="29"/>
  <c r="F8" i="29"/>
  <c r="E8" i="29"/>
  <c r="D8" i="29"/>
  <c r="C8" i="29"/>
  <c r="J7" i="29"/>
  <c r="I7" i="29"/>
  <c r="H7" i="29"/>
  <c r="G7" i="29"/>
  <c r="F7" i="29"/>
  <c r="E7" i="29"/>
  <c r="D7" i="29"/>
  <c r="C7" i="29"/>
  <c r="J6" i="29"/>
  <c r="I6" i="29"/>
  <c r="H6" i="29"/>
  <c r="G6" i="29"/>
  <c r="F6" i="29"/>
  <c r="E6" i="29"/>
  <c r="D6" i="29"/>
  <c r="C6" i="29"/>
  <c r="J5" i="29"/>
  <c r="I5" i="29"/>
  <c r="H5" i="29"/>
  <c r="G5" i="29"/>
  <c r="F5" i="29"/>
  <c r="E5" i="29"/>
  <c r="D5" i="29"/>
  <c r="C5" i="29"/>
  <c r="J4" i="29"/>
  <c r="I4" i="29"/>
  <c r="H4" i="29"/>
  <c r="G4" i="29"/>
  <c r="F4" i="29"/>
  <c r="D4" i="29"/>
  <c r="C4" i="29"/>
  <c r="K14" i="16"/>
  <c r="K13" i="16"/>
  <c r="K14" i="17"/>
  <c r="K13" i="17"/>
  <c r="K14" i="18"/>
  <c r="K13" i="18"/>
  <c r="K14" i="20"/>
  <c r="K13" i="20"/>
  <c r="K14" i="21"/>
  <c r="K13" i="21"/>
  <c r="K14" i="25"/>
  <c r="K13" i="25"/>
  <c r="K14" i="26"/>
  <c r="K13" i="26"/>
  <c r="N14" i="1"/>
  <c r="M14" i="1"/>
  <c r="L14" i="1"/>
  <c r="K14" i="1"/>
  <c r="N13" i="1"/>
  <c r="M13" i="1"/>
  <c r="L13" i="1"/>
  <c r="K13" i="1"/>
  <c r="J14" i="1"/>
  <c r="I14" i="1"/>
  <c r="H14" i="1"/>
  <c r="G14" i="1"/>
  <c r="F14" i="1"/>
  <c r="E14" i="1"/>
  <c r="D14" i="1"/>
  <c r="C14" i="1"/>
  <c r="J13" i="1"/>
  <c r="I13" i="1"/>
  <c r="H13" i="1"/>
  <c r="G13" i="1"/>
  <c r="F13" i="1"/>
  <c r="E13" i="1"/>
  <c r="D13" i="1"/>
  <c r="C13" i="1"/>
  <c r="J14" i="16"/>
  <c r="I14" i="16"/>
  <c r="H14" i="16"/>
  <c r="G14" i="16"/>
  <c r="F14" i="16"/>
  <c r="E14" i="16"/>
  <c r="D14" i="16"/>
  <c r="C14" i="16"/>
  <c r="J13" i="16"/>
  <c r="I13" i="16"/>
  <c r="H13" i="16"/>
  <c r="G13" i="16"/>
  <c r="F13" i="16"/>
  <c r="E13" i="16"/>
  <c r="D13" i="16"/>
  <c r="C13" i="16"/>
  <c r="J14" i="17"/>
  <c r="I14" i="17"/>
  <c r="H14" i="17"/>
  <c r="G14" i="17"/>
  <c r="F14" i="17"/>
  <c r="E14" i="17"/>
  <c r="D14" i="17"/>
  <c r="C14" i="17"/>
  <c r="J13" i="17"/>
  <c r="I13" i="17"/>
  <c r="H13" i="17"/>
  <c r="G13" i="17"/>
  <c r="F13" i="17"/>
  <c r="E13" i="17"/>
  <c r="D13" i="17"/>
  <c r="C13" i="17"/>
  <c r="J14" i="18"/>
  <c r="I14" i="18"/>
  <c r="H14" i="18"/>
  <c r="G14" i="18"/>
  <c r="F14" i="18"/>
  <c r="E14" i="18"/>
  <c r="D14" i="18"/>
  <c r="C14" i="18"/>
  <c r="J13" i="18"/>
  <c r="I13" i="18"/>
  <c r="H13" i="18"/>
  <c r="G13" i="18"/>
  <c r="F13" i="18"/>
  <c r="E13" i="18"/>
  <c r="D13" i="18"/>
  <c r="C13" i="18"/>
  <c r="J14" i="19"/>
  <c r="I14" i="19"/>
  <c r="H14" i="19"/>
  <c r="G14" i="19"/>
  <c r="F14" i="19"/>
  <c r="E14" i="19"/>
  <c r="D14" i="19"/>
  <c r="C14" i="19"/>
  <c r="J13" i="19"/>
  <c r="I13" i="19"/>
  <c r="H13" i="19"/>
  <c r="G13" i="19"/>
  <c r="F13" i="19"/>
  <c r="E13" i="19"/>
  <c r="D13" i="19"/>
  <c r="C13" i="19"/>
  <c r="J14" i="20"/>
  <c r="I14" i="20"/>
  <c r="H14" i="20"/>
  <c r="G14" i="20"/>
  <c r="F14" i="20"/>
  <c r="E14" i="20"/>
  <c r="D14" i="20"/>
  <c r="C14" i="20"/>
  <c r="J13" i="20"/>
  <c r="I13" i="20"/>
  <c r="H13" i="20"/>
  <c r="G13" i="20"/>
  <c r="F13" i="20"/>
  <c r="E13" i="20"/>
  <c r="D13" i="20"/>
  <c r="C13" i="20"/>
  <c r="J14" i="21"/>
  <c r="I14" i="21"/>
  <c r="H14" i="21"/>
  <c r="G14" i="21"/>
  <c r="F14" i="21"/>
  <c r="E14" i="21"/>
  <c r="D14" i="21"/>
  <c r="C14" i="21"/>
  <c r="J13" i="21"/>
  <c r="I13" i="21"/>
  <c r="H13" i="21"/>
  <c r="G13" i="21"/>
  <c r="F13" i="21"/>
  <c r="E13" i="21"/>
  <c r="D13" i="21"/>
  <c r="C13" i="21"/>
  <c r="H14" i="22"/>
  <c r="G14" i="22"/>
  <c r="F14" i="22"/>
  <c r="E14" i="22"/>
  <c r="D14" i="22"/>
  <c r="C14" i="22"/>
  <c r="H13" i="22"/>
  <c r="G13" i="22"/>
  <c r="F13" i="22"/>
  <c r="E13" i="22"/>
  <c r="D13" i="22"/>
  <c r="C13" i="22"/>
  <c r="J14" i="23"/>
  <c r="I14" i="23"/>
  <c r="H14" i="23"/>
  <c r="G14" i="23"/>
  <c r="F14" i="23"/>
  <c r="E14" i="23"/>
  <c r="D14" i="23"/>
  <c r="C14" i="23"/>
  <c r="J13" i="23"/>
  <c r="I13" i="23"/>
  <c r="H13" i="23"/>
  <c r="G13" i="23"/>
  <c r="F13" i="23"/>
  <c r="E13" i="23"/>
  <c r="D13" i="23"/>
  <c r="C13" i="23"/>
  <c r="H14" i="24"/>
  <c r="G14" i="24"/>
  <c r="F14" i="24"/>
  <c r="E14" i="24"/>
  <c r="D14" i="24"/>
  <c r="C14" i="24"/>
  <c r="H13" i="24"/>
  <c r="G13" i="24"/>
  <c r="F13" i="24"/>
  <c r="E13" i="24"/>
  <c r="D13" i="24"/>
  <c r="C13" i="24"/>
  <c r="J14" i="25"/>
  <c r="I14" i="25"/>
  <c r="H14" i="25"/>
  <c r="G14" i="25"/>
  <c r="F14" i="25"/>
  <c r="E14" i="25"/>
  <c r="D14" i="25"/>
  <c r="C14" i="25"/>
  <c r="J13" i="25"/>
  <c r="I13" i="25"/>
  <c r="H13" i="25"/>
  <c r="G13" i="25"/>
  <c r="F13" i="25"/>
  <c r="E13" i="25"/>
  <c r="D13" i="25"/>
  <c r="C13" i="25"/>
  <c r="J14" i="26"/>
  <c r="I14" i="26"/>
  <c r="H14" i="26"/>
  <c r="G14" i="26"/>
  <c r="F14" i="26"/>
  <c r="E14" i="26"/>
  <c r="D14" i="26"/>
  <c r="C14" i="26"/>
  <c r="J13" i="26"/>
  <c r="I13" i="26"/>
  <c r="H13" i="26"/>
  <c r="G13" i="26"/>
  <c r="F13" i="26"/>
  <c r="E13" i="26"/>
  <c r="D13" i="26"/>
  <c r="C13" i="26"/>
  <c r="I14" i="27"/>
  <c r="H14" i="27"/>
  <c r="G14" i="27"/>
  <c r="F14" i="27"/>
  <c r="E14" i="27"/>
  <c r="D14" i="27"/>
  <c r="C14" i="27"/>
  <c r="I13" i="27"/>
  <c r="H13" i="27"/>
  <c r="G13" i="27"/>
  <c r="F13" i="27"/>
  <c r="E13" i="27"/>
  <c r="D13" i="27"/>
  <c r="C13" i="27"/>
  <c r="I14" i="28"/>
  <c r="H14" i="28"/>
  <c r="G14" i="28"/>
  <c r="F14" i="28"/>
  <c r="E14" i="28"/>
  <c r="D14" i="28"/>
  <c r="C14" i="28"/>
  <c r="I13" i="28"/>
  <c r="H13" i="28"/>
  <c r="G13" i="28"/>
  <c r="F13" i="28"/>
  <c r="E13" i="28"/>
  <c r="D13" i="28"/>
  <c r="C13" i="28"/>
  <c r="N12" i="1"/>
  <c r="M12" i="1"/>
  <c r="L12" i="1"/>
  <c r="K12" i="1"/>
  <c r="J12" i="1"/>
  <c r="I12" i="1"/>
  <c r="H12" i="1"/>
  <c r="G12" i="1"/>
  <c r="F12" i="1"/>
  <c r="E12" i="1"/>
  <c r="D12" i="1"/>
  <c r="C12" i="1"/>
  <c r="J12" i="20"/>
  <c r="J11" i="20"/>
  <c r="J10" i="20"/>
  <c r="J9" i="20"/>
  <c r="J8" i="20"/>
  <c r="J7" i="20"/>
  <c r="J6" i="20"/>
  <c r="J5" i="20"/>
  <c r="J4" i="20"/>
  <c r="I12" i="23"/>
  <c r="I11" i="23"/>
  <c r="I10" i="23"/>
  <c r="I9" i="23"/>
  <c r="I8" i="23"/>
  <c r="I7" i="23"/>
  <c r="I6" i="23"/>
  <c r="I5" i="23"/>
  <c r="I4" i="23"/>
  <c r="J12" i="21"/>
  <c r="J11" i="21"/>
  <c r="J10" i="21"/>
  <c r="J9" i="21"/>
  <c r="J8" i="21"/>
  <c r="J7" i="21"/>
  <c r="J6" i="21"/>
  <c r="J5" i="21"/>
  <c r="J4" i="21"/>
  <c r="J12" i="19"/>
  <c r="I12" i="19"/>
  <c r="H12" i="19"/>
  <c r="G12" i="19"/>
  <c r="F12" i="19"/>
  <c r="E12" i="19"/>
  <c r="D12" i="19"/>
  <c r="J11" i="19"/>
  <c r="I11" i="19"/>
  <c r="H11" i="19"/>
  <c r="G11" i="19"/>
  <c r="F11" i="19"/>
  <c r="E11" i="19"/>
  <c r="D11" i="19"/>
  <c r="J10" i="19"/>
  <c r="I10" i="19"/>
  <c r="H10" i="19"/>
  <c r="G10" i="19"/>
  <c r="F10" i="19"/>
  <c r="E10" i="19"/>
  <c r="D10" i="19"/>
  <c r="J9" i="19"/>
  <c r="I9" i="19"/>
  <c r="H9" i="19"/>
  <c r="G9" i="19"/>
  <c r="F9" i="19"/>
  <c r="E9" i="19"/>
  <c r="D9" i="19"/>
  <c r="J8" i="19"/>
  <c r="I8" i="19"/>
  <c r="H8" i="19"/>
  <c r="G8" i="19"/>
  <c r="F8" i="19"/>
  <c r="E8" i="19"/>
  <c r="D8" i="19"/>
  <c r="J7" i="19"/>
  <c r="I7" i="19"/>
  <c r="H7" i="19"/>
  <c r="G7" i="19"/>
  <c r="F7" i="19"/>
  <c r="E7" i="19"/>
  <c r="D7" i="19"/>
  <c r="J6" i="19"/>
  <c r="I6" i="19"/>
  <c r="H6" i="19"/>
  <c r="G6" i="19"/>
  <c r="F6" i="19"/>
  <c r="E6" i="19"/>
  <c r="D6" i="19"/>
  <c r="J5" i="19"/>
  <c r="I5" i="19"/>
  <c r="H5" i="19"/>
  <c r="G5" i="19"/>
  <c r="F5" i="19"/>
  <c r="E5" i="19"/>
  <c r="D5" i="19"/>
  <c r="J4" i="19"/>
  <c r="I4" i="19"/>
  <c r="H4" i="19"/>
  <c r="G4" i="19"/>
  <c r="F4" i="19"/>
  <c r="E4" i="19"/>
  <c r="D4" i="19"/>
  <c r="K12" i="20"/>
  <c r="I12" i="20"/>
  <c r="H12" i="20"/>
  <c r="G12" i="20"/>
  <c r="F12" i="20"/>
  <c r="E12" i="20"/>
  <c r="D12" i="20"/>
  <c r="K11" i="20"/>
  <c r="I11" i="20"/>
  <c r="H11" i="20"/>
  <c r="G11" i="20"/>
  <c r="F11" i="20"/>
  <c r="E11" i="20"/>
  <c r="D11" i="20"/>
  <c r="K10" i="20"/>
  <c r="I10" i="20"/>
  <c r="H10" i="20"/>
  <c r="G10" i="20"/>
  <c r="F10" i="20"/>
  <c r="E10" i="20"/>
  <c r="D10" i="20"/>
  <c r="K9" i="20"/>
  <c r="I9" i="20"/>
  <c r="H9" i="20"/>
  <c r="G9" i="20"/>
  <c r="F9" i="20"/>
  <c r="E9" i="20"/>
  <c r="D9" i="20"/>
  <c r="K8" i="20"/>
  <c r="I8" i="20"/>
  <c r="H8" i="20"/>
  <c r="G8" i="20"/>
  <c r="F8" i="20"/>
  <c r="E8" i="20"/>
  <c r="D8" i="20"/>
  <c r="K7" i="20"/>
  <c r="I7" i="20"/>
  <c r="H7" i="20"/>
  <c r="G7" i="20"/>
  <c r="F7" i="20"/>
  <c r="E7" i="20"/>
  <c r="D7" i="20"/>
  <c r="K6" i="20"/>
  <c r="I6" i="20"/>
  <c r="H6" i="20"/>
  <c r="G6" i="20"/>
  <c r="F6" i="20"/>
  <c r="E6" i="20"/>
  <c r="D6" i="20"/>
  <c r="K5" i="20"/>
  <c r="I5" i="20"/>
  <c r="H5" i="20"/>
  <c r="G5" i="20"/>
  <c r="F5" i="20"/>
  <c r="E5" i="20"/>
  <c r="D5" i="20"/>
  <c r="K4" i="20"/>
  <c r="I4" i="20"/>
  <c r="H4" i="20"/>
  <c r="G4" i="20"/>
  <c r="F4" i="20"/>
  <c r="E4" i="20"/>
  <c r="D4" i="20"/>
  <c r="K12" i="21"/>
  <c r="I12" i="21"/>
  <c r="H12" i="21"/>
  <c r="G12" i="21"/>
  <c r="F12" i="21"/>
  <c r="E12" i="21"/>
  <c r="D12" i="21"/>
  <c r="K11" i="21"/>
  <c r="I11" i="21"/>
  <c r="H11" i="21"/>
  <c r="G11" i="21"/>
  <c r="F11" i="21"/>
  <c r="E11" i="21"/>
  <c r="D11" i="21"/>
  <c r="K10" i="21"/>
  <c r="I10" i="21"/>
  <c r="H10" i="21"/>
  <c r="G10" i="21"/>
  <c r="F10" i="21"/>
  <c r="E10" i="21"/>
  <c r="D10" i="21"/>
  <c r="K9" i="21"/>
  <c r="I9" i="21"/>
  <c r="H9" i="21"/>
  <c r="G9" i="21"/>
  <c r="F9" i="21"/>
  <c r="E9" i="21"/>
  <c r="D9" i="21"/>
  <c r="K8" i="21"/>
  <c r="I8" i="21"/>
  <c r="H8" i="21"/>
  <c r="G8" i="21"/>
  <c r="F8" i="21"/>
  <c r="E8" i="21"/>
  <c r="D8" i="21"/>
  <c r="K7" i="21"/>
  <c r="I7" i="21"/>
  <c r="H7" i="21"/>
  <c r="G7" i="21"/>
  <c r="F7" i="21"/>
  <c r="E7" i="21"/>
  <c r="D7" i="21"/>
  <c r="K6" i="21"/>
  <c r="I6" i="21"/>
  <c r="H6" i="21"/>
  <c r="G6" i="21"/>
  <c r="F6" i="21"/>
  <c r="E6" i="21"/>
  <c r="D6" i="21"/>
  <c r="K5" i="21"/>
  <c r="I5" i="21"/>
  <c r="H5" i="21"/>
  <c r="G5" i="21"/>
  <c r="F5" i="21"/>
  <c r="E5" i="21"/>
  <c r="D5" i="21"/>
  <c r="K4" i="21"/>
  <c r="I4" i="21"/>
  <c r="H4" i="21"/>
  <c r="G4" i="21"/>
  <c r="F4" i="21"/>
  <c r="E4" i="21"/>
  <c r="D4" i="21"/>
  <c r="H12" i="22"/>
  <c r="G12" i="22"/>
  <c r="F12" i="22"/>
  <c r="E12" i="22"/>
  <c r="D12" i="22"/>
  <c r="H11" i="22"/>
  <c r="G11" i="22"/>
  <c r="F11" i="22"/>
  <c r="E11" i="22"/>
  <c r="D11" i="22"/>
  <c r="H10" i="22"/>
  <c r="G10" i="22"/>
  <c r="F10" i="22"/>
  <c r="E10" i="22"/>
  <c r="D10" i="22"/>
  <c r="H9" i="22"/>
  <c r="G9" i="22"/>
  <c r="F9" i="22"/>
  <c r="E9" i="22"/>
  <c r="D9" i="22"/>
  <c r="H8" i="22"/>
  <c r="G8" i="22"/>
  <c r="F8" i="22"/>
  <c r="E8" i="22"/>
  <c r="D8" i="22"/>
  <c r="H7" i="22"/>
  <c r="G7" i="22"/>
  <c r="F7" i="22"/>
  <c r="E7" i="22"/>
  <c r="D7" i="22"/>
  <c r="H6" i="22"/>
  <c r="G6" i="22"/>
  <c r="F6" i="22"/>
  <c r="E6" i="22"/>
  <c r="D6" i="22"/>
  <c r="H5" i="22"/>
  <c r="G5" i="22"/>
  <c r="F5" i="22"/>
  <c r="E5" i="22"/>
  <c r="D5" i="22"/>
  <c r="H4" i="22"/>
  <c r="G4" i="22"/>
  <c r="F4" i="22"/>
  <c r="E4" i="22"/>
  <c r="D4" i="22"/>
  <c r="J12" i="23"/>
  <c r="H12" i="23"/>
  <c r="G12" i="23"/>
  <c r="F12" i="23"/>
  <c r="E12" i="23"/>
  <c r="D12" i="23"/>
  <c r="J11" i="23"/>
  <c r="H11" i="23"/>
  <c r="G11" i="23"/>
  <c r="F11" i="23"/>
  <c r="E11" i="23"/>
  <c r="D11" i="23"/>
  <c r="J10" i="23"/>
  <c r="H10" i="23"/>
  <c r="G10" i="23"/>
  <c r="F10" i="23"/>
  <c r="E10" i="23"/>
  <c r="D10" i="23"/>
  <c r="J9" i="23"/>
  <c r="H9" i="23"/>
  <c r="G9" i="23"/>
  <c r="F9" i="23"/>
  <c r="E9" i="23"/>
  <c r="D9" i="23"/>
  <c r="J8" i="23"/>
  <c r="H8" i="23"/>
  <c r="G8" i="23"/>
  <c r="F8" i="23"/>
  <c r="E8" i="23"/>
  <c r="D8" i="23"/>
  <c r="J7" i="23"/>
  <c r="H7" i="23"/>
  <c r="G7" i="23"/>
  <c r="F7" i="23"/>
  <c r="E7" i="23"/>
  <c r="D7" i="23"/>
  <c r="J6" i="23"/>
  <c r="H6" i="23"/>
  <c r="G6" i="23"/>
  <c r="F6" i="23"/>
  <c r="E6" i="23"/>
  <c r="D6" i="23"/>
  <c r="J5" i="23"/>
  <c r="H5" i="23"/>
  <c r="G5" i="23"/>
  <c r="F5" i="23"/>
  <c r="E5" i="23"/>
  <c r="D5" i="23"/>
  <c r="J4" i="23"/>
  <c r="H4" i="23"/>
  <c r="G4" i="23"/>
  <c r="F4" i="23"/>
  <c r="E4" i="23"/>
  <c r="D4" i="23"/>
  <c r="H12" i="24"/>
  <c r="G12" i="24"/>
  <c r="F12" i="24"/>
  <c r="E12" i="24"/>
  <c r="D12" i="24"/>
  <c r="H11" i="24"/>
  <c r="G11" i="24"/>
  <c r="F11" i="24"/>
  <c r="E11" i="24"/>
  <c r="D11" i="24"/>
  <c r="H10" i="24"/>
  <c r="G10" i="24"/>
  <c r="F10" i="24"/>
  <c r="E10" i="24"/>
  <c r="D10" i="24"/>
  <c r="H9" i="24"/>
  <c r="G9" i="24"/>
  <c r="F9" i="24"/>
  <c r="E9" i="24"/>
  <c r="D9" i="24"/>
  <c r="H8" i="24"/>
  <c r="G8" i="24"/>
  <c r="F8" i="24"/>
  <c r="E8" i="24"/>
  <c r="D8" i="24"/>
  <c r="H7" i="24"/>
  <c r="G7" i="24"/>
  <c r="F7" i="24"/>
  <c r="E7" i="24"/>
  <c r="D7" i="24"/>
  <c r="H6" i="24"/>
  <c r="G6" i="24"/>
  <c r="F6" i="24"/>
  <c r="E6" i="24"/>
  <c r="D6" i="24"/>
  <c r="H5" i="24"/>
  <c r="G5" i="24"/>
  <c r="F5" i="24"/>
  <c r="E5" i="24"/>
  <c r="D5" i="24"/>
  <c r="H4" i="24"/>
  <c r="G4" i="24"/>
  <c r="F4" i="24"/>
  <c r="E4" i="24"/>
  <c r="D4" i="24"/>
  <c r="K12" i="25"/>
  <c r="J12" i="25"/>
  <c r="I12" i="25"/>
  <c r="H12" i="25"/>
  <c r="G12" i="25"/>
  <c r="F12" i="25"/>
  <c r="E12" i="25"/>
  <c r="D12" i="25"/>
  <c r="K11" i="25"/>
  <c r="J11" i="25"/>
  <c r="I11" i="25"/>
  <c r="H11" i="25"/>
  <c r="G11" i="25"/>
  <c r="F11" i="25"/>
  <c r="E11" i="25"/>
  <c r="D11" i="25"/>
  <c r="K10" i="25"/>
  <c r="J10" i="25"/>
  <c r="I10" i="25"/>
  <c r="H10" i="25"/>
  <c r="G10" i="25"/>
  <c r="F10" i="25"/>
  <c r="E10" i="25"/>
  <c r="D10" i="25"/>
  <c r="K9" i="25"/>
  <c r="J9" i="25"/>
  <c r="I9" i="25"/>
  <c r="H9" i="25"/>
  <c r="G9" i="25"/>
  <c r="F9" i="25"/>
  <c r="E9" i="25"/>
  <c r="D9" i="25"/>
  <c r="K8" i="25"/>
  <c r="J8" i="25"/>
  <c r="I8" i="25"/>
  <c r="H8" i="25"/>
  <c r="G8" i="25"/>
  <c r="F8" i="25"/>
  <c r="E8" i="25"/>
  <c r="D8" i="25"/>
  <c r="K7" i="25"/>
  <c r="J7" i="25"/>
  <c r="I7" i="25"/>
  <c r="H7" i="25"/>
  <c r="G7" i="25"/>
  <c r="F7" i="25"/>
  <c r="E7" i="25"/>
  <c r="D7" i="25"/>
  <c r="K6" i="25"/>
  <c r="J6" i="25"/>
  <c r="I6" i="25"/>
  <c r="H6" i="25"/>
  <c r="G6" i="25"/>
  <c r="F6" i="25"/>
  <c r="E6" i="25"/>
  <c r="D6" i="25"/>
  <c r="K5" i="25"/>
  <c r="J5" i="25"/>
  <c r="I5" i="25"/>
  <c r="H5" i="25"/>
  <c r="G5" i="25"/>
  <c r="F5" i="25"/>
  <c r="E5" i="25"/>
  <c r="D5" i="25"/>
  <c r="K4" i="25"/>
  <c r="J4" i="25"/>
  <c r="I4" i="25"/>
  <c r="H4" i="25"/>
  <c r="G4" i="25"/>
  <c r="F4" i="25"/>
  <c r="E4" i="25"/>
  <c r="D4" i="25"/>
  <c r="K12" i="26"/>
  <c r="J12" i="26"/>
  <c r="I12" i="26"/>
  <c r="H12" i="26"/>
  <c r="G12" i="26"/>
  <c r="F12" i="26"/>
  <c r="E12" i="26"/>
  <c r="D12" i="26"/>
  <c r="K11" i="26"/>
  <c r="J11" i="26"/>
  <c r="I11" i="26"/>
  <c r="H11" i="26"/>
  <c r="G11" i="26"/>
  <c r="F11" i="26"/>
  <c r="E11" i="26"/>
  <c r="D11" i="26"/>
  <c r="K10" i="26"/>
  <c r="J10" i="26"/>
  <c r="I10" i="26"/>
  <c r="H10" i="26"/>
  <c r="G10" i="26"/>
  <c r="F10" i="26"/>
  <c r="E10" i="26"/>
  <c r="D10" i="26"/>
  <c r="K9" i="26"/>
  <c r="J9" i="26"/>
  <c r="I9" i="26"/>
  <c r="H9" i="26"/>
  <c r="G9" i="26"/>
  <c r="F9" i="26"/>
  <c r="E9" i="26"/>
  <c r="D9" i="26"/>
  <c r="K8" i="26"/>
  <c r="J8" i="26"/>
  <c r="I8" i="26"/>
  <c r="H8" i="26"/>
  <c r="G8" i="26"/>
  <c r="F8" i="26"/>
  <c r="E8" i="26"/>
  <c r="D8" i="26"/>
  <c r="K7" i="26"/>
  <c r="J7" i="26"/>
  <c r="I7" i="26"/>
  <c r="H7" i="26"/>
  <c r="G7" i="26"/>
  <c r="F7" i="26"/>
  <c r="E7" i="26"/>
  <c r="D7" i="26"/>
  <c r="K6" i="26"/>
  <c r="J6" i="26"/>
  <c r="I6" i="26"/>
  <c r="H6" i="26"/>
  <c r="G6" i="26"/>
  <c r="F6" i="26"/>
  <c r="E6" i="26"/>
  <c r="D6" i="26"/>
  <c r="K5" i="26"/>
  <c r="J5" i="26"/>
  <c r="I5" i="26"/>
  <c r="H5" i="26"/>
  <c r="G5" i="26"/>
  <c r="F5" i="26"/>
  <c r="E5" i="26"/>
  <c r="D5" i="26"/>
  <c r="K4" i="26"/>
  <c r="J4" i="26"/>
  <c r="I4" i="26"/>
  <c r="H4" i="26"/>
  <c r="G4" i="26"/>
  <c r="F4" i="26"/>
  <c r="E4" i="26"/>
  <c r="D4" i="26"/>
  <c r="I12" i="27"/>
  <c r="H12" i="27"/>
  <c r="G12" i="27"/>
  <c r="F12" i="27"/>
  <c r="E12" i="27"/>
  <c r="D12" i="27"/>
  <c r="C12" i="27"/>
  <c r="I11" i="27"/>
  <c r="H11" i="27"/>
  <c r="G11" i="27"/>
  <c r="F11" i="27"/>
  <c r="E11" i="27"/>
  <c r="D11" i="27"/>
  <c r="C11" i="27"/>
  <c r="I10" i="27"/>
  <c r="H10" i="27"/>
  <c r="G10" i="27"/>
  <c r="F10" i="27"/>
  <c r="E10" i="27"/>
  <c r="D10" i="27"/>
  <c r="C10" i="27"/>
  <c r="I9" i="27"/>
  <c r="H9" i="27"/>
  <c r="G9" i="27"/>
  <c r="F9" i="27"/>
  <c r="E9" i="27"/>
  <c r="D9" i="27"/>
  <c r="C9" i="27"/>
  <c r="I8" i="27"/>
  <c r="H8" i="27"/>
  <c r="G8" i="27"/>
  <c r="F8" i="27"/>
  <c r="E8" i="27"/>
  <c r="D8" i="27"/>
  <c r="C8" i="27"/>
  <c r="I7" i="27"/>
  <c r="H7" i="27"/>
  <c r="G7" i="27"/>
  <c r="F7" i="27"/>
  <c r="E7" i="27"/>
  <c r="D7" i="27"/>
  <c r="C7" i="27"/>
  <c r="I6" i="27"/>
  <c r="H6" i="27"/>
  <c r="G6" i="27"/>
  <c r="F6" i="27"/>
  <c r="E6" i="27"/>
  <c r="D6" i="27"/>
  <c r="C6" i="27"/>
  <c r="I5" i="27"/>
  <c r="H5" i="27"/>
  <c r="G5" i="27"/>
  <c r="F5" i="27"/>
  <c r="E5" i="27"/>
  <c r="D5" i="27"/>
  <c r="C5" i="27"/>
  <c r="I4" i="27"/>
  <c r="H4" i="27"/>
  <c r="G4" i="27"/>
  <c r="F4" i="27"/>
  <c r="E4" i="27"/>
  <c r="D4" i="27"/>
  <c r="C4" i="27"/>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I5" i="28"/>
  <c r="H5" i="28"/>
  <c r="G5" i="28"/>
  <c r="F5" i="28"/>
  <c r="E5" i="28"/>
  <c r="D5" i="28"/>
  <c r="I4" i="28"/>
  <c r="H4" i="28"/>
  <c r="G4" i="28"/>
  <c r="F4" i="28"/>
  <c r="E4" i="28"/>
  <c r="D4" i="28"/>
  <c r="C12" i="28"/>
  <c r="C11" i="28"/>
  <c r="C10" i="28"/>
  <c r="C9" i="28"/>
  <c r="C8" i="28"/>
  <c r="C7" i="28"/>
  <c r="C6" i="28"/>
  <c r="C5" i="28"/>
  <c r="C4" i="28"/>
  <c r="C12" i="26"/>
  <c r="C11" i="26"/>
  <c r="C10" i="26"/>
  <c r="C9" i="26"/>
  <c r="C8" i="26"/>
  <c r="C7" i="26"/>
  <c r="C6" i="26"/>
  <c r="C5" i="26"/>
  <c r="C4" i="26"/>
  <c r="C12" i="25"/>
  <c r="C11" i="25"/>
  <c r="C10" i="25"/>
  <c r="C9" i="25"/>
  <c r="C8" i="25"/>
  <c r="C7" i="25"/>
  <c r="C6" i="25"/>
  <c r="C5" i="25"/>
  <c r="C4" i="25"/>
  <c r="C12" i="24"/>
  <c r="C11" i="24"/>
  <c r="C10" i="24"/>
  <c r="C9" i="24"/>
  <c r="C8" i="24"/>
  <c r="C7" i="24"/>
  <c r="C6" i="24"/>
  <c r="C5" i="24"/>
  <c r="C4" i="24"/>
  <c r="C12" i="23"/>
  <c r="C11" i="23"/>
  <c r="C10" i="23"/>
  <c r="C9" i="23"/>
  <c r="C8" i="23"/>
  <c r="C7" i="23"/>
  <c r="C6" i="23"/>
  <c r="C5" i="23"/>
  <c r="C4" i="23"/>
  <c r="C12" i="22"/>
  <c r="C11" i="22"/>
  <c r="C10" i="22"/>
  <c r="C9" i="22"/>
  <c r="C8" i="22"/>
  <c r="C7" i="22"/>
  <c r="C6" i="22"/>
  <c r="C5" i="22"/>
  <c r="C4" i="22"/>
  <c r="C12" i="21"/>
  <c r="C11" i="21"/>
  <c r="C10" i="21"/>
  <c r="C9" i="21"/>
  <c r="C8" i="21"/>
  <c r="C7" i="21"/>
  <c r="C6" i="21"/>
  <c r="C5" i="21"/>
  <c r="C4" i="21"/>
  <c r="C12" i="20"/>
  <c r="C11" i="20"/>
  <c r="C10" i="20"/>
  <c r="C9" i="20"/>
  <c r="C8" i="20"/>
  <c r="C7" i="20"/>
  <c r="C6" i="20"/>
  <c r="C5" i="20"/>
  <c r="C4" i="20"/>
  <c r="C12" i="19"/>
  <c r="C11" i="19"/>
  <c r="C10" i="19"/>
  <c r="C9" i="19"/>
  <c r="C8" i="19"/>
  <c r="C7" i="19"/>
  <c r="C6" i="19"/>
  <c r="C5" i="19"/>
  <c r="C4" i="19"/>
  <c r="K12" i="18"/>
  <c r="J12" i="18"/>
  <c r="I12" i="18"/>
  <c r="H12" i="18"/>
  <c r="G12" i="18"/>
  <c r="F12" i="18"/>
  <c r="E12" i="18"/>
  <c r="D12" i="18"/>
  <c r="K11" i="18"/>
  <c r="J11" i="18"/>
  <c r="I11" i="18"/>
  <c r="H11" i="18"/>
  <c r="G11" i="18"/>
  <c r="F11" i="18"/>
  <c r="E11" i="18"/>
  <c r="D11" i="18"/>
  <c r="K10" i="18"/>
  <c r="J10" i="18"/>
  <c r="I10" i="18"/>
  <c r="H10" i="18"/>
  <c r="G10" i="18"/>
  <c r="F10" i="18"/>
  <c r="E10" i="18"/>
  <c r="D10" i="18"/>
  <c r="K9" i="18"/>
  <c r="J9" i="18"/>
  <c r="I9" i="18"/>
  <c r="H9" i="18"/>
  <c r="G9" i="18"/>
  <c r="F9" i="18"/>
  <c r="E9" i="18"/>
  <c r="D9" i="18"/>
  <c r="K8" i="18"/>
  <c r="J8" i="18"/>
  <c r="I8" i="18"/>
  <c r="H8" i="18"/>
  <c r="G8" i="18"/>
  <c r="F8" i="18"/>
  <c r="E8" i="18"/>
  <c r="D8" i="18"/>
  <c r="K7" i="18"/>
  <c r="J7" i="18"/>
  <c r="I7" i="18"/>
  <c r="H7" i="18"/>
  <c r="G7" i="18"/>
  <c r="F7" i="18"/>
  <c r="E7" i="18"/>
  <c r="D7" i="18"/>
  <c r="K6" i="18"/>
  <c r="J6" i="18"/>
  <c r="I6" i="18"/>
  <c r="H6" i="18"/>
  <c r="G6" i="18"/>
  <c r="F6" i="18"/>
  <c r="E6" i="18"/>
  <c r="D6" i="18"/>
  <c r="K5" i="18"/>
  <c r="J5" i="18"/>
  <c r="I5" i="18"/>
  <c r="H5" i="18"/>
  <c r="G5" i="18"/>
  <c r="F5" i="18"/>
  <c r="E5" i="18"/>
  <c r="D5" i="18"/>
  <c r="K4" i="18"/>
  <c r="J4" i="18"/>
  <c r="I4" i="18"/>
  <c r="H4" i="18"/>
  <c r="G4" i="18"/>
  <c r="F4" i="18"/>
  <c r="E4" i="18"/>
  <c r="D4" i="18"/>
  <c r="C12" i="18"/>
  <c r="C11" i="18"/>
  <c r="C10" i="18"/>
  <c r="C9" i="18"/>
  <c r="C8" i="18"/>
  <c r="C7" i="18"/>
  <c r="C6" i="18"/>
  <c r="C5" i="18"/>
  <c r="C4" i="18"/>
  <c r="K12" i="17"/>
  <c r="J12" i="17"/>
  <c r="I12" i="17"/>
  <c r="H12" i="17"/>
  <c r="G12" i="17"/>
  <c r="F12" i="17"/>
  <c r="E12" i="17"/>
  <c r="D12" i="17"/>
  <c r="C12" i="17"/>
  <c r="K11" i="17"/>
  <c r="J11" i="17"/>
  <c r="I11" i="17"/>
  <c r="H11" i="17"/>
  <c r="G11" i="17"/>
  <c r="F11" i="17"/>
  <c r="E11" i="17"/>
  <c r="D11" i="17"/>
  <c r="C11" i="17"/>
  <c r="K10" i="17"/>
  <c r="J10" i="17"/>
  <c r="I10" i="17"/>
  <c r="H10" i="17"/>
  <c r="G10" i="17"/>
  <c r="F10" i="17"/>
  <c r="E10" i="17"/>
  <c r="D10" i="17"/>
  <c r="C10" i="17"/>
  <c r="K9" i="17"/>
  <c r="J9" i="17"/>
  <c r="I9" i="17"/>
  <c r="H9" i="17"/>
  <c r="G9" i="17"/>
  <c r="F9" i="17"/>
  <c r="E9" i="17"/>
  <c r="D9" i="17"/>
  <c r="C9" i="17"/>
  <c r="K8" i="17"/>
  <c r="J8" i="17"/>
  <c r="I8" i="17"/>
  <c r="H8" i="17"/>
  <c r="G8" i="17"/>
  <c r="F8" i="17"/>
  <c r="E8" i="17"/>
  <c r="D8" i="17"/>
  <c r="C8" i="17"/>
  <c r="K7" i="17"/>
  <c r="J7" i="17"/>
  <c r="I7" i="17"/>
  <c r="H7" i="17"/>
  <c r="G7" i="17"/>
  <c r="F7" i="17"/>
  <c r="E7" i="17"/>
  <c r="D7" i="17"/>
  <c r="C7" i="17"/>
  <c r="K6" i="17"/>
  <c r="J6" i="17"/>
  <c r="I6" i="17"/>
  <c r="H6" i="17"/>
  <c r="G6" i="17"/>
  <c r="F6" i="17"/>
  <c r="E6" i="17"/>
  <c r="D6" i="17"/>
  <c r="C6" i="17"/>
  <c r="K5" i="17"/>
  <c r="J5" i="17"/>
  <c r="I5" i="17"/>
  <c r="H5" i="17"/>
  <c r="G5" i="17"/>
  <c r="F5" i="17"/>
  <c r="E5" i="17"/>
  <c r="D5" i="17"/>
  <c r="C5" i="17"/>
  <c r="K4" i="17"/>
  <c r="J4" i="17"/>
  <c r="I4" i="17"/>
  <c r="H4" i="17"/>
  <c r="G4" i="17"/>
  <c r="F4" i="17"/>
  <c r="E4" i="17"/>
  <c r="D4" i="17"/>
  <c r="C4" i="17"/>
  <c r="K12" i="16"/>
  <c r="J12" i="16"/>
  <c r="I12" i="16"/>
  <c r="H12" i="16"/>
  <c r="G12" i="16"/>
  <c r="F12" i="16"/>
  <c r="E12" i="16"/>
  <c r="D12" i="16"/>
  <c r="K11" i="16"/>
  <c r="J11" i="16"/>
  <c r="I11" i="16"/>
  <c r="H11" i="16"/>
  <c r="G11" i="16"/>
  <c r="F11" i="16"/>
  <c r="E11" i="16"/>
  <c r="D11" i="16"/>
  <c r="K10" i="16"/>
  <c r="J10" i="16"/>
  <c r="I10" i="16"/>
  <c r="H10" i="16"/>
  <c r="G10" i="16"/>
  <c r="F10" i="16"/>
  <c r="E10" i="16"/>
  <c r="D10" i="16"/>
  <c r="K9" i="16"/>
  <c r="J9" i="16"/>
  <c r="I9" i="16"/>
  <c r="H9" i="16"/>
  <c r="G9" i="16"/>
  <c r="F9" i="16"/>
  <c r="E9" i="16"/>
  <c r="D9" i="16"/>
  <c r="K8" i="16"/>
  <c r="J8" i="16"/>
  <c r="I8" i="16"/>
  <c r="H8" i="16"/>
  <c r="G8" i="16"/>
  <c r="F8" i="16"/>
  <c r="E8" i="16"/>
  <c r="D8" i="16"/>
  <c r="K7" i="16"/>
  <c r="J7" i="16"/>
  <c r="I7" i="16"/>
  <c r="H7" i="16"/>
  <c r="G7" i="16"/>
  <c r="F7" i="16"/>
  <c r="E7" i="16"/>
  <c r="D7" i="16"/>
  <c r="K6" i="16"/>
  <c r="J6" i="16"/>
  <c r="I6" i="16"/>
  <c r="H6" i="16"/>
  <c r="G6" i="16"/>
  <c r="F6" i="16"/>
  <c r="E6" i="16"/>
  <c r="D6" i="16"/>
  <c r="K5" i="16"/>
  <c r="J5" i="16"/>
  <c r="I5" i="16"/>
  <c r="H5" i="16"/>
  <c r="G5" i="16"/>
  <c r="F5" i="16"/>
  <c r="E5" i="16"/>
  <c r="D5" i="16"/>
  <c r="C12" i="16"/>
  <c r="C11" i="16"/>
  <c r="C10" i="16"/>
  <c r="C9" i="16"/>
  <c r="C8" i="16"/>
  <c r="C7" i="16"/>
  <c r="C6" i="16"/>
  <c r="C5" i="16"/>
  <c r="K4" i="16"/>
  <c r="J4" i="16"/>
  <c r="I4" i="16"/>
  <c r="H4" i="16"/>
  <c r="G4" i="16"/>
  <c r="F4" i="16"/>
  <c r="E4" i="16"/>
  <c r="D4" i="16"/>
  <c r="C4" i="16"/>
  <c r="N4" i="1"/>
  <c r="M4" i="1"/>
  <c r="L4" i="1"/>
  <c r="K4" i="1"/>
  <c r="J4" i="1"/>
  <c r="I4" i="1"/>
  <c r="H4" i="1"/>
  <c r="G4" i="1"/>
  <c r="F4" i="1"/>
  <c r="E4" i="1"/>
  <c r="D4" i="1"/>
  <c r="C4"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L6" i="1"/>
  <c r="K6" i="1"/>
  <c r="J6" i="1"/>
  <c r="I6" i="1"/>
  <c r="H6" i="1"/>
  <c r="G6" i="1"/>
  <c r="F6" i="1"/>
  <c r="E6" i="1"/>
  <c r="D6" i="1"/>
  <c r="C6" i="1"/>
  <c r="N5" i="1"/>
  <c r="M5" i="1"/>
  <c r="L5" i="1"/>
  <c r="K5" i="1"/>
  <c r="J5" i="1"/>
  <c r="I5" i="1"/>
  <c r="H5" i="1"/>
  <c r="G5" i="1"/>
  <c r="F5" i="1"/>
  <c r="E5" i="1"/>
  <c r="D5" i="1"/>
  <c r="C5" i="1"/>
</calcChain>
</file>

<file path=xl/sharedStrings.xml><?xml version="1.0" encoding="utf-8"?>
<sst xmlns="http://schemas.openxmlformats.org/spreadsheetml/2006/main" count="826" uniqueCount="81">
  <si>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</si>
  <si>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</si>
  <si>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</si>
  <si>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</si>
  <si>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</si>
  <si>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</si>
  <si>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</si>
  <si>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</si>
  <si>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</si>
  <si>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</si>
  <si>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</si>
  <si>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</si>
  <si>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</si>
  <si>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</si>
  <si>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</si>
  <si>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</si>
  <si>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</si>
  <si>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</si>
  <si>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</si>
  <si>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</si>
  <si>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</si>
  <si>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</si>
  <si>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</si>
  <si>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</si>
  <si>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</si>
  <si>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</si>
  <si>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</si>
  <si>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</si>
  <si>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</si>
  <si>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</si>
  <si>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</si>
  <si>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</si>
  <si>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</si>
  <si>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</si>
  <si>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</si>
  <si>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</si>
  <si>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</si>
  <si>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</si>
  <si>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</si>
  <si>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</si>
  <si>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</si>
  <si>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</si>
  <si>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</si>
  <si>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</si>
  <si>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</si>
  <si>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</si>
  <si>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</si>
  <si>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</si>
  <si>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</si>
  <si>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</si>
  <si>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</si>
  <si>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</si>
  <si>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</si>
  <si>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</si>
  <si>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</si>
  <si>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</si>
  <si>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</si>
  <si>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</si>
  <si>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</si>
  <si>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</si>
  <si>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</si>
  <si>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</si>
  <si>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</si>
  <si>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</si>
  <si>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ESe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</si>
  <si>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</si>
  <si>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</si>
  <si>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</si>
  <si>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</si>
  <si>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</si>
  <si>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</si>
  <si>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</si>
  <si>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</si>
  <si>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</si>
  <si>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</si>
  <si>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</si>
  <si>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 RN,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</si>
  <si>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t>Personalizado 3 CHV+</t>
  </si>
  <si>
    <t>Personalizado 3 CHV</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</si>
  <si>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Modelo ajustado que incorpora efecto caudillo de Bianchi
- Votación del FA y el PS está dentro del margen de error del modelo. Los resultados de integración se pudieron haber dado a la inversa.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</si>
  <si>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PR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</si>
</sst>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5" borderId="15" xfId="0" applyFill="1" applyBorder="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42">
    <dxf>
      <fill>
        <patternFill>
          <bgColor theme="5" tint="-0.499984740745262"/>
        </patternFill>
      </fill>
    </dxf>
    <dxf>
      <fill>
        <patternFill>
          <bgColor rgb="FF00B050"/>
        </patternFill>
      </fill>
    </dxf>
    <dxf>
      <fill>
        <patternFill>
          <bgColor rgb="FF0070C0"/>
        </patternFill>
      </fill>
    </dxf>
    <dxf>
      <fill>
        <patternFill>
          <bgColor rgb="FFFF0000"/>
        </patternFill>
      </fill>
    </dxf>
    <dxf>
      <fill>
        <patternFill>
          <bgColor rgb="FF7030A0"/>
        </patternFill>
      </fill>
    </dxf>
    <dxf>
      <fill>
        <patternFill>
          <bgColor rgb="FFFFC000"/>
        </patternFill>
      </fill>
    </dxf>
    <dxf>
      <fill>
        <patternFill>
          <bgColor theme="2" tint="-0.24994659260841701"/>
        </patternFill>
      </fill>
    </dxf>
    <dxf>
      <fill>
        <patternFill>
          <bgColor theme="8" tint="0.79998168889431442"/>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ill>
        <patternFill>
          <bgColor rgb="FFFFC000"/>
        </patternFill>
      </fill>
    </dxf>
    <dxf>
      <fill>
        <patternFill>
          <bgColor rgb="FFFF0000"/>
        </patternFill>
      </fill>
    </dxf>
    <dxf>
      <fill>
        <patternFill>
          <bgColor theme="2" tint="-0.24994659260841701"/>
        </patternFill>
      </fill>
    </dxf>
    <dxf>
      <fill>
        <patternFill>
          <bgColor rgb="FF7030A0"/>
        </patternFill>
      </fill>
    </dxf>
    <dxf>
      <fill>
        <patternFill>
          <bgColor theme="5" tint="-0.499984740745262"/>
        </patternFill>
      </fill>
    </dxf>
    <dxf>
      <fill>
        <patternFill>
          <bgColor rgb="FF00B050"/>
        </patternFill>
      </fill>
    </dxf>
    <dxf>
      <fill>
        <patternFill>
          <bgColor rgb="FF0070C0"/>
        </patternFill>
      </fill>
    </dxf>
    <dxf>
      <fill>
        <patternFill>
          <bgColor rgb="FF0070C0"/>
        </patternFill>
      </fill>
    </dxf>
    <dxf>
      <fill>
        <patternFill>
          <bgColor rgb="FFFF000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B050"/>
        </patternFill>
      </fill>
    </dxf>
    <dxf>
      <fill>
        <patternFill>
          <bgColor theme="8" tint="0.79998168889431442"/>
        </patternFill>
      </fill>
    </dxf>
    <dxf>
      <fill>
        <patternFill>
          <bgColor rgb="FFFFC000"/>
        </patternFill>
      </fill>
    </dxf>
    <dxf>
      <fill>
        <patternFill>
          <bgColor theme="5" tint="-0.499984740745262"/>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9" tint="0.79998168889431442"/>
        </patternFill>
      </fill>
    </dxf>
    <dxf>
      <fill>
        <patternFill>
          <bgColor rgb="FFFFFF00"/>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rgb="FFFFC000"/>
        </patternFill>
      </fill>
    </dxf>
    <dxf>
      <fill>
        <patternFill>
          <bgColor theme="2" tint="-0.24994659260841701"/>
        </patternFill>
      </fill>
    </dxf>
    <dxf>
      <fill>
        <patternFill>
          <bgColor theme="5" tint="-0.499984740745262"/>
        </patternFill>
      </fill>
    </dxf>
    <dxf>
      <fill>
        <patternFill>
          <bgColor rgb="FF0070C0"/>
        </patternFill>
      </fill>
    </dxf>
    <dxf>
      <fill>
        <patternFill>
          <bgColor rgb="FFFF000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ill>
        <patternFill>
          <bgColor theme="7" tint="0.59996337778862885"/>
        </patternFill>
      </fill>
    </dxf>
    <dxf>
      <fill>
        <patternFill>
          <bgColor rgb="FFFFFF00"/>
        </patternFill>
      </fill>
    </dxf>
    <dxf>
      <fill>
        <patternFill>
          <bgColor theme="9" tint="0.79998168889431442"/>
        </patternFill>
      </fill>
    </dxf>
    <dxf>
      <font>
        <color theme="0"/>
      </font>
      <fill>
        <patternFill>
          <bgColor theme="1"/>
        </patternFill>
      </fill>
    </dxf>
    <dxf>
      <fill>
        <patternFill>
          <bgColor rgb="FFFFC00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ont>
        <color theme="0"/>
      </font>
      <fill>
        <patternFill>
          <bgColor theme="1"/>
        </patternFill>
      </fill>
    </dxf>
    <dxf>
      <fill>
        <patternFill>
          <bgColor theme="7" tint="0.59996337778862885"/>
        </patternFill>
      </fill>
    </dxf>
    <dxf>
      <fill>
        <patternFill>
          <bgColor theme="9" tint="0.79998168889431442"/>
        </patternFill>
      </fill>
    </dxf>
    <dxf>
      <fill>
        <patternFill>
          <bgColor rgb="FFFFABAB"/>
        </patternFill>
      </fill>
    </dxf>
    <dxf>
      <fill>
        <patternFill>
          <bgColor rgb="FFFFFF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theme="9" tint="0.79998168889431442"/>
        </patternFill>
      </fill>
    </dxf>
    <dxf>
      <font>
        <color theme="0"/>
      </font>
      <fill>
        <patternFill>
          <bgColor theme="1"/>
        </patternFill>
      </fill>
    </dxf>
    <dxf>
      <fill>
        <patternFill>
          <bgColor rgb="FFFFABAB"/>
        </patternFill>
      </fill>
    </dxf>
    <dxf>
      <fill>
        <patternFill>
          <bgColor theme="7" tint="0.59996337778862885"/>
        </patternFill>
      </fill>
    </dxf>
    <dxf>
      <fill>
        <patternFill>
          <bgColor rgb="FFFFFF00"/>
        </patternFill>
      </fill>
    </dxf>
    <dxf>
      <fill>
        <patternFill>
          <bgColor theme="5" tint="-0.499984740745262"/>
        </patternFill>
      </fill>
    </dxf>
    <dxf>
      <fill>
        <patternFill>
          <bgColor rgb="FFFFC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7030A0"/>
        </patternFill>
      </fill>
    </dxf>
    <dxf>
      <fill>
        <patternFill>
          <bgColor rgb="FF0070C0"/>
        </patternFill>
      </fill>
    </dxf>
    <dxf>
      <fill>
        <patternFill>
          <bgColor rgb="FF00B050"/>
        </patternFill>
      </fill>
    </dxf>
    <dxf>
      <fill>
        <patternFill>
          <bgColor rgb="FFFF0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7030A0"/>
        </patternFill>
      </fill>
    </dxf>
    <dxf>
      <fill>
        <patternFill>
          <bgColor rgb="FF00B050"/>
        </patternFill>
      </fill>
    </dxf>
    <dxf>
      <fill>
        <patternFill>
          <bgColor theme="2" tint="-0.24994659260841701"/>
        </patternFill>
      </fill>
    </dxf>
    <dxf>
      <fill>
        <patternFill>
          <bgColor theme="5" tint="-0.499984740745262"/>
        </patternFill>
      </fill>
    </dxf>
    <dxf>
      <fill>
        <patternFill>
          <bgColor rgb="FFFFC000"/>
        </patternFill>
      </fill>
    </dxf>
    <dxf>
      <fill>
        <patternFill>
          <bgColor rgb="FFFF0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239D1B26-4682-4E61-B799-9E0CE3C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451" y="5868213"/>
          <a:ext cx="4451349" cy="55253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6AD71DCA-7AB9-4A1D-A609-E1263D05A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8174" cy="55253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50078D4A-E12C-4352-B452-FCD204E48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51349" cy="5493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6E47EA48-2D5F-423D-AA41-62C93FCB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9026" y="5868213"/>
          <a:ext cx="4444999" cy="5493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AAF11349-D434-406F-9163-798EE6E7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5651" y="5868213"/>
          <a:ext cx="4451349" cy="55253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157B953C-43C1-4D2D-A9D8-19601C8C5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493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3B45F6DD-6A94-4578-AD37-4D750057F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51" y="5868213"/>
          <a:ext cx="4451349" cy="549361"/>
        </a:xfrm>
        <a:prstGeom prst="rect">
          <a:avLst/>
        </a:prstGeom>
      </xdr:spPr>
    </xdr:pic>
    <xdr:clientData/>
  </xdr:twoCellAnchor>
  <xdr:twoCellAnchor editAs="oneCell">
    <xdr:from>
      <xdr:col>29</xdr:col>
      <xdr:colOff>19051</xdr:colOff>
      <xdr:row>27</xdr:row>
      <xdr:rowOff>172263</xdr:rowOff>
    </xdr:from>
    <xdr:to>
      <xdr:col>30</xdr:col>
      <xdr:colOff>3438525</xdr:colOff>
      <xdr:row>30</xdr:row>
      <xdr:rowOff>181874</xdr:rowOff>
    </xdr:to>
    <xdr:pic>
      <xdr:nvPicPr>
        <xdr:cNvPr id="9" name="Imagen 8">
          <a:extLst>
            <a:ext uri="{FF2B5EF4-FFF2-40B4-BE49-F238E27FC236}">
              <a16:creationId xmlns:a16="http://schemas.microsoft.com/office/drawing/2014/main" id="{F9AE5277-13B7-493A-8D22-866E7F0AB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919651" y="5938063"/>
          <a:ext cx="4448174" cy="562061"/>
        </a:xfrm>
        <a:prstGeom prst="rect">
          <a:avLst/>
        </a:prstGeom>
      </xdr:spPr>
    </xdr:pic>
    <xdr:clientData/>
  </xdr:twoCellAnchor>
  <xdr:twoCellAnchor editAs="oneCell">
    <xdr:from>
      <xdr:col>33</xdr:col>
      <xdr:colOff>6351</xdr:colOff>
      <xdr:row>27</xdr:row>
      <xdr:rowOff>172263</xdr:rowOff>
    </xdr:from>
    <xdr:to>
      <xdr:col>34</xdr:col>
      <xdr:colOff>3425825</xdr:colOff>
      <xdr:row>30</xdr:row>
      <xdr:rowOff>181874</xdr:rowOff>
    </xdr:to>
    <xdr:pic>
      <xdr:nvPicPr>
        <xdr:cNvPr id="10" name="Imagen 9">
          <a:extLst>
            <a:ext uri="{FF2B5EF4-FFF2-40B4-BE49-F238E27FC236}">
              <a16:creationId xmlns:a16="http://schemas.microsoft.com/office/drawing/2014/main" id="{726FF3FF-3F6C-4242-9402-4EEC9DB7D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26751" y="5938063"/>
          <a:ext cx="4448174" cy="562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25</xdr:row>
      <xdr:rowOff>15875</xdr:rowOff>
    </xdr:from>
    <xdr:to>
      <xdr:col>10</xdr:col>
      <xdr:colOff>323850</xdr:colOff>
      <xdr:row>27</xdr:row>
      <xdr:rowOff>162512</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5457825"/>
          <a:ext cx="3984625" cy="518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26</xdr:row>
      <xdr:rowOff>28575</xdr:rowOff>
    </xdr:from>
    <xdr:to>
      <xdr:col>10</xdr:col>
      <xdr:colOff>400050</xdr:colOff>
      <xdr:row>29</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25</xdr:row>
      <xdr:rowOff>133350</xdr:rowOff>
    </xdr:from>
    <xdr:to>
      <xdr:col>10</xdr:col>
      <xdr:colOff>323850</xdr:colOff>
      <xdr:row>29</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273050</xdr:colOff>
      <xdr:row>29</xdr:row>
      <xdr:rowOff>103806</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2" name="Imagen 1">
          <a:extLst>
            <a:ext uri="{FF2B5EF4-FFF2-40B4-BE49-F238E27FC236}">
              <a16:creationId xmlns:a16="http://schemas.microsoft.com/office/drawing/2014/main" id="{1ECE00F2-FB5A-4683-AC25-8B97913F5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924550"/>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82551</xdr:colOff>
      <xdr:row>25</xdr:row>
      <xdr:rowOff>120651</xdr:rowOff>
    </xdr:from>
    <xdr:to>
      <xdr:col>9</xdr:col>
      <xdr:colOff>295276</xdr:colOff>
      <xdr:row>28</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11776"/>
          <a:ext cx="4584700" cy="5897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66675</xdr:colOff>
      <xdr:row>25</xdr:row>
      <xdr:rowOff>123825</xdr:rowOff>
    </xdr:from>
    <xdr:to>
      <xdr:col>9</xdr:col>
      <xdr:colOff>330200</xdr:colOff>
      <xdr:row>28</xdr:row>
      <xdr:rowOff>164324</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181725"/>
          <a:ext cx="4578350" cy="5834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106642</xdr:colOff>
      <xdr:row>28</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114300</xdr:colOff>
      <xdr:row>26</xdr:row>
      <xdr:rowOff>38100</xdr:rowOff>
    </xdr:from>
    <xdr:to>
      <xdr:col>8</xdr:col>
      <xdr:colOff>179667</xdr:colOff>
      <xdr:row>29</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752475</xdr:colOff>
      <xdr:row>26</xdr:row>
      <xdr:rowOff>0</xdr:rowOff>
    </xdr:from>
    <xdr:to>
      <xdr:col>8</xdr:col>
      <xdr:colOff>27267</xdr:colOff>
      <xdr:row>28</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275904</xdr:colOff>
      <xdr:row>29</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352104</xdr:colOff>
      <xdr:row>29</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xdr:colOff>
      <xdr:row>26</xdr:row>
      <xdr:rowOff>0</xdr:rowOff>
    </xdr:from>
    <xdr:to>
      <xdr:col>9</xdr:col>
      <xdr:colOff>9526</xdr:colOff>
      <xdr:row>29</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215900</xdr:colOff>
      <xdr:row>29</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180975</xdr:colOff>
      <xdr:row>25</xdr:row>
      <xdr:rowOff>171450</xdr:rowOff>
    </xdr:from>
    <xdr:to>
      <xdr:col>9</xdr:col>
      <xdr:colOff>635</xdr:colOff>
      <xdr:row>28</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art.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art.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v.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s.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s.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Mun.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Mun.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1.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1.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csv"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3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3_CHV1.csv"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3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3_CHV.csv"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proyectados_proporciones.csv" TargetMode="External"/><Relationship Id="rId1" Type="http://schemas.openxmlformats.org/officeDocument/2006/relationships/externalLinkPath" Target="/Users/Ivan/Desktop/Ivan/Laboral/EstrategiaSur/GitProjects/Proyeccion-electoral-congreso/Resultados/Diputados/Version%20ajustada/resultados_proyectados_proporciones.csv"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art.csv" TargetMode="External"/><Relationship Id="rId1" Type="http://schemas.openxmlformats.org/officeDocument/2006/relationships/externalLinkPath" Target="/Users/Ivan/Desktop/Ivan/Laboral/EstrategiaSur/GitProjects/Proyeccion-electoral-congreso/Resultados/Diputados/Version%20ajustada/resultados_integracion_partido_EscPart.csv"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Conv.csv" TargetMode="External"/><Relationship Id="rId1" Type="http://schemas.openxmlformats.org/officeDocument/2006/relationships/externalLinkPath" Target="/Users/Ivan/Desktop/Ivan/Laboral/EstrategiaSur/GitProjects/Proyeccion-electoral-congreso/Resultados/Diputados/Version%20ajustada/resultados_integracion_partido_EscConv.csv"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Cons.csv" TargetMode="External"/><Relationship Id="rId1" Type="http://schemas.openxmlformats.org/officeDocument/2006/relationships/externalLinkPath" Target="/Users/Ivan/Desktop/Ivan/Laboral/EstrategiaSur/GitProjects/Proyeccion-electoral-congreso/Resultados/Diputados/Version%20ajustada/resultados_integracion_partido_EscCons.csv"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Mun.csv" TargetMode="External"/><Relationship Id="rId1" Type="http://schemas.openxmlformats.org/officeDocument/2006/relationships/externalLinkPath" Target="/Users/Ivan/Desktop/Ivan/Laboral/EstrategiaSur/GitProjects/Proyeccion-electoral-congreso/Resultados/Diputados/Version%20ajustada/resultados_integracion_partido_EscMun.csv"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1_CHV1.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1_CHV1.csv"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1_CHV.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1_CHV.csv"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2_CHV1.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2_CHV1.csv"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2_CHV.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2_CHV.csv"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3_CHV1.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3_CHV1.csv"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ajustada\resultados_integracion_partido_EscPers3_CHV.csv" TargetMode="External"/><Relationship Id="rId1" Type="http://schemas.openxmlformats.org/officeDocument/2006/relationships/externalLinkPath" Target="/Users/Ivan/Desktop/Ivan/Laboral/EstrategiaSur/GitProjects/Proyeccion-electoral-congreso/Resultados/Diputados/Version%20ajustada/resultados_integracion_partido_EscPers3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2.1126260820199201E-2</v>
          </cell>
          <cell r="C2">
            <v>0</v>
          </cell>
          <cell r="D2">
            <v>5.0150345286282198E-2</v>
          </cell>
          <cell r="E2">
            <v>2.5185096545189099E-3</v>
          </cell>
          <cell r="F2">
            <v>2.4272310725650802E-2</v>
          </cell>
          <cell r="G2">
            <v>3.0013399584515401E-2</v>
          </cell>
          <cell r="H2">
            <v>5.0759796793839801E-3</v>
          </cell>
          <cell r="I2">
            <v>0</v>
          </cell>
          <cell r="J2">
            <v>0</v>
          </cell>
          <cell r="K2">
            <v>4.7471819824984399E-2</v>
          </cell>
          <cell r="L2">
            <v>3.8587463944264398E-2</v>
          </cell>
          <cell r="M2">
            <v>4.8589147588839997E-2</v>
          </cell>
          <cell r="N2">
            <v>3.9110646060341203E-2</v>
          </cell>
          <cell r="O2">
            <v>3.4069452425909197E-2</v>
          </cell>
          <cell r="P2">
            <v>1.01199561974121E-2</v>
          </cell>
          <cell r="Q2">
            <v>1.5386563403132599E-2</v>
          </cell>
          <cell r="R2">
            <v>3.06645943460154E-2</v>
          </cell>
          <cell r="S2">
            <v>4.28327528701965E-2</v>
          </cell>
          <cell r="T2">
            <v>2.3451360064785501E-2</v>
          </cell>
          <cell r="U2">
            <v>0</v>
          </cell>
          <cell r="V2">
            <v>0.147657020728308</v>
          </cell>
          <cell r="W2">
            <v>7.8602547173355505E-2</v>
          </cell>
          <cell r="X2">
            <v>5.2472661647272198E-2</v>
          </cell>
          <cell r="Y2">
            <v>0.101248262437054</v>
          </cell>
          <cell r="Z2">
            <v>0.15657894553757601</v>
          </cell>
        </row>
        <row r="3">
          <cell r="A3">
            <v>2</v>
          </cell>
          <cell r="B3">
            <v>2.91250547089483E-2</v>
          </cell>
          <cell r="C3">
            <v>0</v>
          </cell>
          <cell r="D3">
            <v>3.9108863920863997E-2</v>
          </cell>
          <cell r="E3">
            <v>7.3924669476334599E-3</v>
          </cell>
          <cell r="F3">
            <v>3.7323490313583001E-2</v>
          </cell>
          <cell r="G3">
            <v>3.5576884818917201E-2</v>
          </cell>
          <cell r="H3">
            <v>3.6754891328559399E-3</v>
          </cell>
          <cell r="I3">
            <v>5.5091528453244103E-4</v>
          </cell>
          <cell r="J3">
            <v>0</v>
          </cell>
          <cell r="K3">
            <v>2.9565786936574301E-2</v>
          </cell>
          <cell r="L3">
            <v>5.7802235695841697E-2</v>
          </cell>
          <cell r="M3">
            <v>5.6996267038840497E-2</v>
          </cell>
          <cell r="N3">
            <v>5.8944534733338296E-3</v>
          </cell>
          <cell r="O3">
            <v>1.8156739479303401E-2</v>
          </cell>
          <cell r="P3">
            <v>9.9753074328333899E-3</v>
          </cell>
          <cell r="Q3">
            <v>3.3547680187556002E-2</v>
          </cell>
          <cell r="R3">
            <v>4.2954048564202499E-2</v>
          </cell>
          <cell r="S3">
            <v>2.9282167586389098E-2</v>
          </cell>
          <cell r="T3">
            <v>3.7812172575232998E-2</v>
          </cell>
          <cell r="U3">
            <v>0</v>
          </cell>
          <cell r="V3">
            <v>0.116809343523225</v>
          </cell>
          <cell r="W3">
            <v>9.1200964713875995E-2</v>
          </cell>
          <cell r="X3">
            <v>5.8875500287190102E-2</v>
          </cell>
          <cell r="Y3">
            <v>0.106464378735894</v>
          </cell>
          <cell r="Z3">
            <v>0.15190978864237101</v>
          </cell>
        </row>
        <row r="4">
          <cell r="A4">
            <v>3</v>
          </cell>
          <cell r="B4">
            <v>1.11977216534955E-2</v>
          </cell>
          <cell r="C4">
            <v>0</v>
          </cell>
          <cell r="D4">
            <v>3.29363518844678E-2</v>
          </cell>
          <cell r="E4">
            <v>3.4737881380395103E-2</v>
          </cell>
          <cell r="F4">
            <v>4.1286140407391397E-2</v>
          </cell>
          <cell r="G4">
            <v>6.0158011655294399E-2</v>
          </cell>
          <cell r="H4">
            <v>2.3659564439498502E-3</v>
          </cell>
          <cell r="I4">
            <v>0</v>
          </cell>
          <cell r="J4">
            <v>0</v>
          </cell>
          <cell r="K4">
            <v>5.1442687829713798E-2</v>
          </cell>
          <cell r="L4">
            <v>4.3908686248342203E-2</v>
          </cell>
          <cell r="M4">
            <v>5.53134922793087E-2</v>
          </cell>
          <cell r="N4">
            <v>2.1620097085618501E-3</v>
          </cell>
          <cell r="O4">
            <v>1.8171131182723701E-2</v>
          </cell>
          <cell r="P4">
            <v>1.30961694270944E-3</v>
          </cell>
          <cell r="Q4">
            <v>2.0979843787259499E-2</v>
          </cell>
          <cell r="R4">
            <v>4.5091054373245502E-2</v>
          </cell>
          <cell r="S4">
            <v>3.7601502721381498E-2</v>
          </cell>
          <cell r="T4">
            <v>4.0432178820497502E-2</v>
          </cell>
          <cell r="U4">
            <v>0</v>
          </cell>
          <cell r="V4">
            <v>9.7582760539339702E-2</v>
          </cell>
          <cell r="W4">
            <v>6.4175762342438006E-2</v>
          </cell>
          <cell r="X4">
            <v>3.9654043583940202E-2</v>
          </cell>
          <cell r="Y4">
            <v>0.11706281141097601</v>
          </cell>
          <cell r="Z4">
            <v>0.18243035480456599</v>
          </cell>
        </row>
        <row r="5">
          <cell r="A5">
            <v>4</v>
          </cell>
          <cell r="B5">
            <v>0</v>
          </cell>
          <cell r="C5">
            <v>2.2367195741033699E-2</v>
          </cell>
          <cell r="D5">
            <v>1.09162793380801E-2</v>
          </cell>
          <cell r="E5">
            <v>0</v>
          </cell>
          <cell r="F5">
            <v>3.9251013647151903E-2</v>
          </cell>
          <cell r="G5">
            <v>8.7426036722046394E-2</v>
          </cell>
          <cell r="H5">
            <v>1.5351329004043599E-2</v>
          </cell>
          <cell r="I5">
            <v>7.3654239187763697E-4</v>
          </cell>
          <cell r="J5">
            <v>0</v>
          </cell>
          <cell r="K5">
            <v>7.6451040018459898E-2</v>
          </cell>
          <cell r="L5">
            <v>1.96713475738396E-2</v>
          </cell>
          <cell r="M5">
            <v>2.6051967958860701E-2</v>
          </cell>
          <cell r="N5">
            <v>5.9513998769338897E-3</v>
          </cell>
          <cell r="O5">
            <v>1.45083399261603E-2</v>
          </cell>
          <cell r="P5">
            <v>1.30592914908579E-2</v>
          </cell>
          <cell r="Q5">
            <v>3.6847722178270002E-2</v>
          </cell>
          <cell r="R5">
            <v>4.77094046677215E-2</v>
          </cell>
          <cell r="S5">
            <v>8.0470604232594903E-2</v>
          </cell>
          <cell r="T5">
            <v>2.5363841640295301E-2</v>
          </cell>
          <cell r="U5">
            <v>0</v>
          </cell>
          <cell r="V5">
            <v>7.8629763317510495E-2</v>
          </cell>
          <cell r="W5">
            <v>0.109172064543776</v>
          </cell>
          <cell r="X5">
            <v>5.3866487012130801E-2</v>
          </cell>
          <cell r="Y5">
            <v>0.102013696598101</v>
          </cell>
          <cell r="Z5">
            <v>0.134184632120253</v>
          </cell>
        </row>
        <row r="6">
          <cell r="A6">
            <v>5</v>
          </cell>
          <cell r="B6">
            <v>8.1510000200261407E-3</v>
          </cell>
          <cell r="C6">
            <v>1.25281438907373E-2</v>
          </cell>
          <cell r="D6">
            <v>3.0487307713214101E-2</v>
          </cell>
          <cell r="E6">
            <v>1.1597285598624401E-2</v>
          </cell>
          <cell r="F6">
            <v>5.02370237710381E-2</v>
          </cell>
          <cell r="G6">
            <v>2.0612270879405301E-2</v>
          </cell>
          <cell r="H6">
            <v>1.77994314481098E-3</v>
          </cell>
          <cell r="I6">
            <v>6.7033955765098997E-3</v>
          </cell>
          <cell r="J6">
            <v>0</v>
          </cell>
          <cell r="K6">
            <v>7.5763210820986193E-2</v>
          </cell>
          <cell r="L6">
            <v>6.2396471964822599E-2</v>
          </cell>
          <cell r="M6">
            <v>3.9002712112672797E-2</v>
          </cell>
          <cell r="N6">
            <v>1.77994314481098E-3</v>
          </cell>
          <cell r="O6">
            <v>1.11409755022987E-2</v>
          </cell>
          <cell r="P6">
            <v>1.77994314481098E-3</v>
          </cell>
          <cell r="Q6">
            <v>2.7385757975413601E-2</v>
          </cell>
          <cell r="R6">
            <v>3.0860294727687199E-2</v>
          </cell>
          <cell r="S6">
            <v>5.9917163267466302E-2</v>
          </cell>
          <cell r="T6">
            <v>2.7719407912617299E-2</v>
          </cell>
          <cell r="U6">
            <v>0</v>
          </cell>
          <cell r="V6">
            <v>8.2057500793893706E-2</v>
          </cell>
          <cell r="W6">
            <v>8.5525958179680298E-2</v>
          </cell>
          <cell r="X6">
            <v>9.4617829566033304E-2</v>
          </cell>
          <cell r="Y6">
            <v>0.117210185871266</v>
          </cell>
          <cell r="Z6">
            <v>0.14074627442117199</v>
          </cell>
        </row>
        <row r="7">
          <cell r="A7">
            <v>6</v>
          </cell>
          <cell r="B7">
            <v>0</v>
          </cell>
          <cell r="C7">
            <v>8.48840932134046E-3</v>
          </cell>
          <cell r="D7">
            <v>1.28349313869039E-2</v>
          </cell>
          <cell r="E7">
            <v>4.7822143116751197E-3</v>
          </cell>
          <cell r="F7">
            <v>6.2517902032209097E-2</v>
          </cell>
          <cell r="G7">
            <v>2.62809562854509E-2</v>
          </cell>
          <cell r="H7">
            <v>5.7916148637955703E-3</v>
          </cell>
          <cell r="I7">
            <v>1.3621707255849999E-2</v>
          </cell>
          <cell r="J7">
            <v>0</v>
          </cell>
          <cell r="K7">
            <v>5.9195116199122003E-2</v>
          </cell>
          <cell r="L7">
            <v>4.6879642406291701E-2</v>
          </cell>
          <cell r="M7">
            <v>1.5844299894562399E-2</v>
          </cell>
          <cell r="N7">
            <v>5.7916148637955703E-3</v>
          </cell>
          <cell r="O7">
            <v>1.7070984386195299E-2</v>
          </cell>
          <cell r="P7">
            <v>1.3205410341984599E-2</v>
          </cell>
          <cell r="Q7">
            <v>3.8456165284210399E-2</v>
          </cell>
          <cell r="R7">
            <v>4.1129066941162098E-2</v>
          </cell>
          <cell r="S7">
            <v>5.2437107824273799E-2</v>
          </cell>
          <cell r="T7">
            <v>2.3119798221082601E-2</v>
          </cell>
          <cell r="U7">
            <v>0</v>
          </cell>
          <cell r="V7">
            <v>0.134046481897549</v>
          </cell>
          <cell r="W7">
            <v>0.12779078451870199</v>
          </cell>
          <cell r="X7">
            <v>5.7433514065972802E-2</v>
          </cell>
          <cell r="Y7">
            <v>9.3038565509983406E-2</v>
          </cell>
          <cell r="Z7">
            <v>0.140243712187886</v>
          </cell>
        </row>
        <row r="8">
          <cell r="A8">
            <v>7</v>
          </cell>
          <cell r="B8">
            <v>0</v>
          </cell>
          <cell r="C8">
            <v>3.9725626508038897E-3</v>
          </cell>
          <cell r="D8">
            <v>7.4052175159463902E-3</v>
          </cell>
          <cell r="E8">
            <v>1.7617477722831398E-2</v>
          </cell>
          <cell r="F8">
            <v>0.106385424878759</v>
          </cell>
          <cell r="G8">
            <v>1.1975620535607599E-2</v>
          </cell>
          <cell r="H8">
            <v>5.9377911560237898E-3</v>
          </cell>
          <cell r="I8">
            <v>1.07055830287393E-3</v>
          </cell>
          <cell r="J8">
            <v>0</v>
          </cell>
          <cell r="K8">
            <v>6.2897465300174399E-2</v>
          </cell>
          <cell r="L8">
            <v>4.3716405074177601E-2</v>
          </cell>
          <cell r="M8">
            <v>3.2252621897321899E-2</v>
          </cell>
          <cell r="N8">
            <v>5.9377911560237898E-3</v>
          </cell>
          <cell r="O8">
            <v>1.1194725148713501E-2</v>
          </cell>
          <cell r="P8">
            <v>1.7709453164193999E-2</v>
          </cell>
          <cell r="Q8">
            <v>2.9386750758498701E-2</v>
          </cell>
          <cell r="R8">
            <v>3.22538163835734E-2</v>
          </cell>
          <cell r="S8">
            <v>3.3905193626221297E-2</v>
          </cell>
          <cell r="T8">
            <v>2.5004777945005802E-2</v>
          </cell>
          <cell r="U8">
            <v>0</v>
          </cell>
          <cell r="V8">
            <v>0.15184368952913299</v>
          </cell>
          <cell r="W8">
            <v>8.1187737404142493E-2</v>
          </cell>
          <cell r="X8">
            <v>6.8755524498913007E-2</v>
          </cell>
          <cell r="Y8">
            <v>9.4810853102080803E-2</v>
          </cell>
          <cell r="Z8">
            <v>0.154778542248978</v>
          </cell>
        </row>
        <row r="9">
          <cell r="A9">
            <v>8</v>
          </cell>
          <cell r="B9">
            <v>4.9363051088710704E-3</v>
          </cell>
          <cell r="C9">
            <v>0</v>
          </cell>
          <cell r="D9">
            <v>1.9667428681695E-2</v>
          </cell>
          <cell r="E9">
            <v>1.45194659177771E-2</v>
          </cell>
          <cell r="F9">
            <v>0.137430792931168</v>
          </cell>
          <cell r="G9">
            <v>1.7567585368884201E-2</v>
          </cell>
          <cell r="H9">
            <v>3.1261485557851098E-3</v>
          </cell>
          <cell r="I9">
            <v>2.23317517456861E-3</v>
          </cell>
          <cell r="J9">
            <v>3.10159460634346E-2</v>
          </cell>
          <cell r="K9">
            <v>7.1385771977238499E-2</v>
          </cell>
          <cell r="L9">
            <v>3.9819587215948797E-2</v>
          </cell>
          <cell r="M9">
            <v>3.1374286567731599E-2</v>
          </cell>
          <cell r="N9">
            <v>2.1223857134702401E-2</v>
          </cell>
          <cell r="O9">
            <v>2.7083279187661801E-2</v>
          </cell>
          <cell r="P9">
            <v>3.1261485557851098E-3</v>
          </cell>
          <cell r="Q9">
            <v>2.1759261402010299E-2</v>
          </cell>
          <cell r="R9">
            <v>2.57513846754161E-2</v>
          </cell>
          <cell r="S9">
            <v>3.67525983691857E-2</v>
          </cell>
          <cell r="T9">
            <v>1.17369421111863E-2</v>
          </cell>
          <cell r="U9">
            <v>0</v>
          </cell>
          <cell r="V9">
            <v>0.13611776781457799</v>
          </cell>
          <cell r="W9">
            <v>7.6131068958384396E-2</v>
          </cell>
          <cell r="X9">
            <v>5.5893286091012399E-2</v>
          </cell>
          <cell r="Y9">
            <v>8.4743167943673703E-2</v>
          </cell>
          <cell r="Z9">
            <v>0.12660474419329901</v>
          </cell>
        </row>
        <row r="10">
          <cell r="A10">
            <v>9</v>
          </cell>
          <cell r="B10">
            <v>5.0499733344393002E-3</v>
          </cell>
          <cell r="C10">
            <v>0</v>
          </cell>
          <cell r="D10">
            <v>2.92058342013598E-2</v>
          </cell>
          <cell r="E10">
            <v>1.4756450114664499E-2</v>
          </cell>
          <cell r="F10">
            <v>7.3330026059404294E-2</v>
          </cell>
          <cell r="G10">
            <v>1.9712043847433601E-2</v>
          </cell>
          <cell r="H10">
            <v>1.0506709459175601E-3</v>
          </cell>
          <cell r="I10">
            <v>0</v>
          </cell>
          <cell r="J10">
            <v>2.7423256090940401E-2</v>
          </cell>
          <cell r="K10">
            <v>9.9208381121314707E-2</v>
          </cell>
          <cell r="L10">
            <v>2.94376624060258E-2</v>
          </cell>
          <cell r="M10">
            <v>3.2436541016843103E-2</v>
          </cell>
          <cell r="N10">
            <v>1.70898860691985E-2</v>
          </cell>
          <cell r="O10">
            <v>7.4001583450443702E-3</v>
          </cell>
          <cell r="P10">
            <v>1.0506709459175601E-3</v>
          </cell>
          <cell r="Q10">
            <v>4.2564402779173498E-2</v>
          </cell>
          <cell r="R10">
            <v>2.66812463211894E-2</v>
          </cell>
          <cell r="S10">
            <v>5.2604797248688301E-2</v>
          </cell>
          <cell r="T10">
            <v>2.3981989713420901E-2</v>
          </cell>
          <cell r="U10">
            <v>0</v>
          </cell>
          <cell r="V10">
            <v>9.8662574579824594E-2</v>
          </cell>
          <cell r="W10">
            <v>9.0234874937722698E-2</v>
          </cell>
          <cell r="X10">
            <v>6.3577024123426099E-2</v>
          </cell>
          <cell r="Y10">
            <v>9.1541567169297802E-2</v>
          </cell>
          <cell r="Z10">
            <v>0.15299996862875201</v>
          </cell>
        </row>
        <row r="11">
          <cell r="A11">
            <v>10</v>
          </cell>
          <cell r="B11">
            <v>8.5634424537604E-3</v>
          </cell>
          <cell r="C11">
            <v>0</v>
          </cell>
          <cell r="D11">
            <v>1.2173111772447001E-2</v>
          </cell>
          <cell r="E11">
            <v>2.97878173558652E-2</v>
          </cell>
          <cell r="F11">
            <v>0.16288281447476899</v>
          </cell>
          <cell r="G11">
            <v>1.9907971967522298E-2</v>
          </cell>
          <cell r="H11">
            <v>2.1764202625704099E-3</v>
          </cell>
          <cell r="I11">
            <v>2.9646054019570999E-3</v>
          </cell>
          <cell r="J11">
            <v>3.6587772790034799E-2</v>
          </cell>
          <cell r="K11">
            <v>9.9070370627614396E-2</v>
          </cell>
          <cell r="L11">
            <v>3.4757274078431301E-2</v>
          </cell>
          <cell r="M11">
            <v>1.3307829511664E-2</v>
          </cell>
          <cell r="N11">
            <v>8.6219673560044702E-3</v>
          </cell>
          <cell r="O11">
            <v>1.56825690775463E-2</v>
          </cell>
          <cell r="P11">
            <v>2.1764202625704099E-3</v>
          </cell>
          <cell r="Q11">
            <v>2.28473206831281E-2</v>
          </cell>
          <cell r="R11">
            <v>1.30599473561035E-2</v>
          </cell>
          <cell r="S11">
            <v>4.7485625584697301E-2</v>
          </cell>
          <cell r="T11">
            <v>1.26552293256199E-2</v>
          </cell>
          <cell r="U11">
            <v>0</v>
          </cell>
          <cell r="V11">
            <v>0.11048659654134101</v>
          </cell>
          <cell r="W11">
            <v>9.5787612450813103E-2</v>
          </cell>
          <cell r="X11">
            <v>7.72769055507882E-2</v>
          </cell>
          <cell r="Y11">
            <v>6.7141030688706999E-2</v>
          </cell>
          <cell r="Z11">
            <v>0.104599344426042</v>
          </cell>
        </row>
        <row r="12">
          <cell r="A12">
            <v>11</v>
          </cell>
          <cell r="B12">
            <v>2.3008064136065501E-2</v>
          </cell>
          <cell r="C12">
            <v>0</v>
          </cell>
          <cell r="D12">
            <v>1.04339950653306E-2</v>
          </cell>
          <cell r="E12">
            <v>8.3201780204359296E-2</v>
          </cell>
          <cell r="F12">
            <v>7.3323367201982695E-2</v>
          </cell>
          <cell r="G12">
            <v>1.1397335723487501E-2</v>
          </cell>
          <cell r="H12">
            <v>2.0587954914525301E-3</v>
          </cell>
          <cell r="I12">
            <v>4.3117617425254698E-3</v>
          </cell>
          <cell r="J12">
            <v>2.5624685875131E-2</v>
          </cell>
          <cell r="K12">
            <v>2.72873339876595E-2</v>
          </cell>
          <cell r="L12">
            <v>3.13605291436162E-2</v>
          </cell>
          <cell r="M12">
            <v>2.4398190172403101E-3</v>
          </cell>
          <cell r="N12">
            <v>7.8004931547001298E-3</v>
          </cell>
          <cell r="O12">
            <v>7.2436426395475397E-3</v>
          </cell>
          <cell r="P12">
            <v>2.0587954914525301E-3</v>
          </cell>
          <cell r="Q12">
            <v>2.21673730481813E-2</v>
          </cell>
          <cell r="R12">
            <v>9.5499814562045905E-3</v>
          </cell>
          <cell r="S12">
            <v>3.1460053854577397E-2</v>
          </cell>
          <cell r="T12">
            <v>1.4537925793789999E-2</v>
          </cell>
          <cell r="U12">
            <v>0</v>
          </cell>
          <cell r="V12">
            <v>0.19241288001974099</v>
          </cell>
          <cell r="W12">
            <v>0.13494672647125999</v>
          </cell>
          <cell r="X12">
            <v>0.126999385581269</v>
          </cell>
          <cell r="Y12">
            <v>6.6779617456282997E-2</v>
          </cell>
          <cell r="Z12">
            <v>8.9595657444140997E-2</v>
          </cell>
        </row>
        <row r="13">
          <cell r="A13">
            <v>12</v>
          </cell>
          <cell r="B13">
            <v>1.49382238409959E-2</v>
          </cell>
          <cell r="C13">
            <v>0</v>
          </cell>
          <cell r="D13">
            <v>2.52161650477657E-2</v>
          </cell>
          <cell r="E13">
            <v>1.7925044469219501E-2</v>
          </cell>
          <cell r="F13">
            <v>5.94472767897E-2</v>
          </cell>
          <cell r="G13">
            <v>1.70569503615914E-2</v>
          </cell>
          <cell r="H13">
            <v>3.4742078526803998E-3</v>
          </cell>
          <cell r="I13">
            <v>1.0792799763746501E-2</v>
          </cell>
          <cell r="J13">
            <v>4.4456857416916302E-2</v>
          </cell>
          <cell r="K13">
            <v>9.8192615247963105E-2</v>
          </cell>
          <cell r="L13">
            <v>2.4592565799564502E-2</v>
          </cell>
          <cell r="M13">
            <v>2.3558270130191201E-2</v>
          </cell>
          <cell r="N13">
            <v>3.5946467530029599E-2</v>
          </cell>
          <cell r="O13">
            <v>1.6492643406078901E-2</v>
          </cell>
          <cell r="P13">
            <v>3.4742078526803998E-3</v>
          </cell>
          <cell r="Q13">
            <v>2.51104004175642E-2</v>
          </cell>
          <cell r="R13">
            <v>1.8650745503286201E-2</v>
          </cell>
          <cell r="S13">
            <v>4.1048351834512602E-2</v>
          </cell>
          <cell r="T13">
            <v>3.2238066567617199E-2</v>
          </cell>
          <cell r="U13">
            <v>0</v>
          </cell>
          <cell r="V13">
            <v>9.3844132237837594E-2</v>
          </cell>
          <cell r="W13">
            <v>0.11682298617963</v>
          </cell>
          <cell r="X13">
            <v>4.2752261234058002E-2</v>
          </cell>
          <cell r="Y13">
            <v>9.3291500598646104E-2</v>
          </cell>
          <cell r="Z13">
            <v>0.14067725991772301</v>
          </cell>
        </row>
        <row r="14">
          <cell r="A14">
            <v>13</v>
          </cell>
          <cell r="B14">
            <v>1.2158159094081401E-2</v>
          </cell>
          <cell r="C14">
            <v>0</v>
          </cell>
          <cell r="D14">
            <v>2.5715106544985301E-2</v>
          </cell>
          <cell r="E14">
            <v>1.6310581235704599E-2</v>
          </cell>
          <cell r="F14">
            <v>9.0066017788393002E-2</v>
          </cell>
          <cell r="G14">
            <v>2.5899740699792902E-2</v>
          </cell>
          <cell r="H14">
            <v>3.2731942964293898E-3</v>
          </cell>
          <cell r="I14">
            <v>9.9960931412842596E-3</v>
          </cell>
          <cell r="J14">
            <v>3.1050295082306199E-2</v>
          </cell>
          <cell r="K14">
            <v>0.10105248853606499</v>
          </cell>
          <cell r="L14">
            <v>3.0887817026075501E-2</v>
          </cell>
          <cell r="M14">
            <v>6.9163954390932501E-3</v>
          </cell>
          <cell r="N14">
            <v>1.19731556709642E-2</v>
          </cell>
          <cell r="O14">
            <v>7.8406740180601703E-3</v>
          </cell>
          <cell r="P14">
            <v>3.2731942964293898E-3</v>
          </cell>
          <cell r="Q14">
            <v>2.05693526504971E-2</v>
          </cell>
          <cell r="R14">
            <v>3.28187210170535E-2</v>
          </cell>
          <cell r="S14">
            <v>8.1391535927221606E-2</v>
          </cell>
          <cell r="T14">
            <v>2.5974332898335201E-2</v>
          </cell>
          <cell r="U14">
            <v>0</v>
          </cell>
          <cell r="V14">
            <v>9.9342776262546797E-2</v>
          </cell>
          <cell r="W14">
            <v>9.0351092923415893E-2</v>
          </cell>
          <cell r="X14">
            <v>4.5703230876148103E-2</v>
          </cell>
          <cell r="Y14">
            <v>8.9239226043164394E-2</v>
          </cell>
          <cell r="Z14">
            <v>0.13819681853195101</v>
          </cell>
        </row>
        <row r="15">
          <cell r="A15">
            <v>14</v>
          </cell>
          <cell r="B15">
            <v>4.3061539094229597E-3</v>
          </cell>
          <cell r="C15">
            <v>0</v>
          </cell>
          <cell r="D15">
            <v>1.0549665828798099E-2</v>
          </cell>
          <cell r="E15">
            <v>1.9882781490791101E-2</v>
          </cell>
          <cell r="F15">
            <v>7.0381701649857298E-2</v>
          </cell>
          <cell r="G15">
            <v>1.9903468576192601E-2</v>
          </cell>
          <cell r="H15">
            <v>0</v>
          </cell>
          <cell r="I15">
            <v>1.25443494970919E-2</v>
          </cell>
          <cell r="J15">
            <v>2.8476146918185001E-2</v>
          </cell>
          <cell r="K15">
            <v>5.3954660389091601E-2</v>
          </cell>
          <cell r="L15">
            <v>3.7683146131826502E-2</v>
          </cell>
          <cell r="M15">
            <v>2.96159305512111E-2</v>
          </cell>
          <cell r="N15">
            <v>1.0704943590305899E-2</v>
          </cell>
          <cell r="O15">
            <v>1.3102900802933E-2</v>
          </cell>
          <cell r="P15">
            <v>0</v>
          </cell>
          <cell r="Q15">
            <v>2.7954981911262299E-2</v>
          </cell>
          <cell r="R15">
            <v>3.3526038934091597E-2</v>
          </cell>
          <cell r="S15">
            <v>8.1407170442890503E-2</v>
          </cell>
          <cell r="T15">
            <v>2.3076319144401999E-2</v>
          </cell>
          <cell r="U15">
            <v>0</v>
          </cell>
          <cell r="V15">
            <v>0.13005721349944399</v>
          </cell>
          <cell r="W15">
            <v>6.42825008443072E-2</v>
          </cell>
          <cell r="X15">
            <v>0.115863131252079</v>
          </cell>
          <cell r="Y15">
            <v>9.0518460731300904E-2</v>
          </cell>
          <cell r="Z15">
            <v>0.122208333904512</v>
          </cell>
        </row>
        <row r="16">
          <cell r="A16">
            <v>15</v>
          </cell>
          <cell r="B16">
            <v>0</v>
          </cell>
          <cell r="C16">
            <v>3.5684364673862399E-3</v>
          </cell>
          <cell r="D16">
            <v>1.8695433337171601E-2</v>
          </cell>
          <cell r="E16">
            <v>4.1421531628269004E-3</v>
          </cell>
          <cell r="F16">
            <v>5.6785339219151201E-2</v>
          </cell>
          <cell r="G16">
            <v>3.00554307981701E-2</v>
          </cell>
          <cell r="H16">
            <v>0</v>
          </cell>
          <cell r="I16">
            <v>3.5379196218840699E-3</v>
          </cell>
          <cell r="J16">
            <v>2.5375774263231801E-2</v>
          </cell>
          <cell r="K16">
            <v>4.6816909913051402E-2</v>
          </cell>
          <cell r="L16">
            <v>4.00604803188725E-2</v>
          </cell>
          <cell r="M16">
            <v>2.9010940899449399E-2</v>
          </cell>
          <cell r="N16">
            <v>0</v>
          </cell>
          <cell r="O16">
            <v>4.4985899182921601E-3</v>
          </cell>
          <cell r="P16">
            <v>0</v>
          </cell>
          <cell r="Q16">
            <v>8.2508191738560901E-2</v>
          </cell>
          <cell r="R16">
            <v>5.83091470378925E-2</v>
          </cell>
          <cell r="S16">
            <v>6.0200784567753199E-2</v>
          </cell>
          <cell r="T16">
            <v>1.57190236725273E-2</v>
          </cell>
          <cell r="U16">
            <v>0</v>
          </cell>
          <cell r="V16">
            <v>0.13311651453680101</v>
          </cell>
          <cell r="W16">
            <v>9.8994612352649405E-2</v>
          </cell>
          <cell r="X16">
            <v>8.3482289446990002E-2</v>
          </cell>
          <cell r="Y16">
            <v>7.9909377175596694E-2</v>
          </cell>
          <cell r="Z16">
            <v>0.12521265155174</v>
          </cell>
        </row>
        <row r="17">
          <cell r="A17">
            <v>16</v>
          </cell>
          <cell r="B17">
            <v>0</v>
          </cell>
          <cell r="C17">
            <v>6.2069435918423004E-3</v>
          </cell>
          <cell r="D17">
            <v>3.3409372813233397E-2</v>
          </cell>
          <cell r="E17">
            <v>1.6112791053108901E-2</v>
          </cell>
          <cell r="F17">
            <v>5.4583715425404203E-2</v>
          </cell>
          <cell r="G17">
            <v>3.7619585344842797E-2</v>
          </cell>
          <cell r="H17">
            <v>0</v>
          </cell>
          <cell r="I17">
            <v>1.7112672320366201E-2</v>
          </cell>
          <cell r="J17">
            <v>8.4295194860640604E-3</v>
          </cell>
          <cell r="K17">
            <v>3.5795143072954901E-2</v>
          </cell>
          <cell r="L17">
            <v>6.8490098447127196E-2</v>
          </cell>
          <cell r="M17">
            <v>1.5298840208464301E-2</v>
          </cell>
          <cell r="N17">
            <v>0</v>
          </cell>
          <cell r="O17">
            <v>6.2842461860264098E-3</v>
          </cell>
          <cell r="P17">
            <v>0</v>
          </cell>
          <cell r="Q17">
            <v>2.3516156494807299E-2</v>
          </cell>
          <cell r="R17">
            <v>7.0252900741953297E-2</v>
          </cell>
          <cell r="S17">
            <v>8.7097287588386404E-2</v>
          </cell>
          <cell r="T17">
            <v>1.0101882798151799E-2</v>
          </cell>
          <cell r="U17">
            <v>0</v>
          </cell>
          <cell r="V17">
            <v>9.5258521600517301E-2</v>
          </cell>
          <cell r="W17">
            <v>0.11423150863843801</v>
          </cell>
          <cell r="X17">
            <v>0.13826503674399401</v>
          </cell>
          <cell r="Y17">
            <v>7.9268000010104894E-2</v>
          </cell>
          <cell r="Z17">
            <v>8.2665777434210594E-2</v>
          </cell>
        </row>
        <row r="18">
          <cell r="A18">
            <v>17</v>
          </cell>
          <cell r="B18">
            <v>6.47025965141311E-3</v>
          </cell>
          <cell r="C18">
            <v>1.0951866891777301E-2</v>
          </cell>
          <cell r="D18">
            <v>3.4358465816015898E-2</v>
          </cell>
          <cell r="E18">
            <v>4.1543912282133201E-2</v>
          </cell>
          <cell r="F18">
            <v>3.8824696069139901E-2</v>
          </cell>
          <cell r="G18">
            <v>2.8603706795373E-2</v>
          </cell>
          <cell r="H18">
            <v>0</v>
          </cell>
          <cell r="I18">
            <v>3.4896346553358101E-3</v>
          </cell>
          <cell r="J18">
            <v>6.8057290261032202E-3</v>
          </cell>
          <cell r="K18">
            <v>3.7477169881189203E-2</v>
          </cell>
          <cell r="L18">
            <v>6.3297014353946801E-2</v>
          </cell>
          <cell r="M18">
            <v>2.1702263869100999E-2</v>
          </cell>
          <cell r="N18">
            <v>0</v>
          </cell>
          <cell r="O18">
            <v>1.26718927502212E-3</v>
          </cell>
          <cell r="P18">
            <v>0</v>
          </cell>
          <cell r="Q18">
            <v>2.70907995405732E-2</v>
          </cell>
          <cell r="R18">
            <v>8.9738214637636496E-2</v>
          </cell>
          <cell r="S18">
            <v>4.6221026931694699E-2</v>
          </cell>
          <cell r="T18">
            <v>2.5681137771529298E-2</v>
          </cell>
          <cell r="U18">
            <v>0</v>
          </cell>
          <cell r="V18">
            <v>9.0970884145384706E-2</v>
          </cell>
          <cell r="W18">
            <v>0.114748413659785</v>
          </cell>
          <cell r="X18">
            <v>0.10801674522528799</v>
          </cell>
          <cell r="Y18">
            <v>8.8014422986399193E-2</v>
          </cell>
          <cell r="Z18">
            <v>0.114726446535156</v>
          </cell>
        </row>
        <row r="19">
          <cell r="A19">
            <v>18</v>
          </cell>
          <cell r="B19">
            <v>0</v>
          </cell>
          <cell r="C19">
            <v>6.0180783072349298E-3</v>
          </cell>
          <cell r="D19">
            <v>1.8543504688082999E-2</v>
          </cell>
          <cell r="E19">
            <v>1.45156048770506E-2</v>
          </cell>
          <cell r="F19">
            <v>5.3979153376743701E-2</v>
          </cell>
          <cell r="G19">
            <v>8.8586112682498205E-3</v>
          </cell>
          <cell r="H19">
            <v>0</v>
          </cell>
          <cell r="I19">
            <v>8.0762610883092795E-3</v>
          </cell>
          <cell r="J19">
            <v>1.6970980826402501E-3</v>
          </cell>
          <cell r="K19">
            <v>4.5393762863642301E-2</v>
          </cell>
          <cell r="L19">
            <v>5.54325192879409E-2</v>
          </cell>
          <cell r="M19">
            <v>1.00357473851449E-2</v>
          </cell>
          <cell r="N19">
            <v>0</v>
          </cell>
          <cell r="O19">
            <v>0</v>
          </cell>
          <cell r="P19">
            <v>0</v>
          </cell>
          <cell r="Q19">
            <v>6.6670678718871404E-2</v>
          </cell>
          <cell r="R19">
            <v>4.5432278564808602E-2</v>
          </cell>
          <cell r="S19">
            <v>4.30340743593755E-2</v>
          </cell>
          <cell r="T19">
            <v>2.4235403151065801E-2</v>
          </cell>
          <cell r="U19">
            <v>0</v>
          </cell>
          <cell r="V19">
            <v>0.10715429149164001</v>
          </cell>
          <cell r="W19">
            <v>0.18790065356330399</v>
          </cell>
          <cell r="X19">
            <v>0.14678995703091999</v>
          </cell>
          <cell r="Y19">
            <v>7.0820745519540707E-2</v>
          </cell>
          <cell r="Z19">
            <v>8.54115763754318E-2</v>
          </cell>
        </row>
        <row r="20">
          <cell r="A20">
            <v>19</v>
          </cell>
          <cell r="B20">
            <v>0</v>
          </cell>
          <cell r="C20">
            <v>1.4213037160943401E-2</v>
          </cell>
          <cell r="D20">
            <v>2.0033237149542301E-2</v>
          </cell>
          <cell r="E20">
            <v>2.5312974455087799E-2</v>
          </cell>
          <cell r="F20">
            <v>2.8918234784474101E-2</v>
          </cell>
          <cell r="G20">
            <v>1.1922380507486599E-2</v>
          </cell>
          <cell r="H20">
            <v>0</v>
          </cell>
          <cell r="I20">
            <v>1.28762405729078E-2</v>
          </cell>
          <cell r="J20">
            <v>1.7069395495535E-2</v>
          </cell>
          <cell r="K20">
            <v>3.9325405096798001E-2</v>
          </cell>
          <cell r="L20">
            <v>4.9052427926342103E-2</v>
          </cell>
          <cell r="M20">
            <v>2.2636335193041299E-2</v>
          </cell>
          <cell r="N20">
            <v>0</v>
          </cell>
          <cell r="O20">
            <v>1.35150483174508E-2</v>
          </cell>
          <cell r="P20">
            <v>0</v>
          </cell>
          <cell r="Q20">
            <v>4.4410192899921701E-2</v>
          </cell>
          <cell r="R20">
            <v>8.2880953303066801E-2</v>
          </cell>
          <cell r="S20">
            <v>7.0841951218238497E-2</v>
          </cell>
          <cell r="T20">
            <v>3.0608812500788701E-2</v>
          </cell>
          <cell r="U20">
            <v>0</v>
          </cell>
          <cell r="V20">
            <v>9.1896062324659605E-2</v>
          </cell>
          <cell r="W20">
            <v>9.3837289401230803E-2</v>
          </cell>
          <cell r="X20">
            <v>0.14700584979053799</v>
          </cell>
          <cell r="Y20">
            <v>8.5934436915776999E-2</v>
          </cell>
          <cell r="Z20">
            <v>9.7709734986168598E-2</v>
          </cell>
        </row>
        <row r="21">
          <cell r="A21">
            <v>20</v>
          </cell>
          <cell r="B21">
            <v>0</v>
          </cell>
          <cell r="C21">
            <v>1.19053288366358E-2</v>
          </cell>
          <cell r="D21">
            <v>3.0397925015597502E-2</v>
          </cell>
          <cell r="E21">
            <v>2.2532793229362798E-2</v>
          </cell>
          <cell r="F21">
            <v>4.9912235509959997E-2</v>
          </cell>
          <cell r="G21">
            <v>4.8570634179614797E-2</v>
          </cell>
          <cell r="H21">
            <v>2.65903876437346E-2</v>
          </cell>
          <cell r="I21">
            <v>9.2634950229909703E-3</v>
          </cell>
          <cell r="J21">
            <v>0</v>
          </cell>
          <cell r="K21">
            <v>5.1016447002899097E-2</v>
          </cell>
          <cell r="L21">
            <v>5.7558256716785501E-2</v>
          </cell>
          <cell r="M21">
            <v>3.1707537644448197E-2</v>
          </cell>
          <cell r="N21">
            <v>4.3421254960854299E-4</v>
          </cell>
          <cell r="O21">
            <v>1.0593070525706599E-2</v>
          </cell>
          <cell r="P21">
            <v>4.3421254960854299E-4</v>
          </cell>
          <cell r="Q21">
            <v>2.62781169862891E-2</v>
          </cell>
          <cell r="R21">
            <v>3.82616137025166E-2</v>
          </cell>
          <cell r="S21">
            <v>4.6989718879442997E-2</v>
          </cell>
          <cell r="T21">
            <v>8.6407736166810703E-2</v>
          </cell>
          <cell r="U21">
            <v>0</v>
          </cell>
          <cell r="V21">
            <v>0.113018006512226</v>
          </cell>
          <cell r="W21">
            <v>5.0073862633300201E-2</v>
          </cell>
          <cell r="X21">
            <v>7.5469043355032697E-2</v>
          </cell>
          <cell r="Y21">
            <v>8.1201995902559998E-2</v>
          </cell>
          <cell r="Z21">
            <v>0.131383369434867</v>
          </cell>
        </row>
        <row r="22">
          <cell r="A22">
            <v>21</v>
          </cell>
          <cell r="B22">
            <v>0</v>
          </cell>
          <cell r="C22">
            <v>4.4421664695564198E-3</v>
          </cell>
          <cell r="D22">
            <v>6.4196872440524896E-2</v>
          </cell>
          <cell r="E22">
            <v>1.22996791403107E-2</v>
          </cell>
          <cell r="F22">
            <v>3.6312728242405702E-2</v>
          </cell>
          <cell r="G22">
            <v>9.8065664550112397E-3</v>
          </cell>
          <cell r="H22">
            <v>1.0432701714772501E-2</v>
          </cell>
          <cell r="I22">
            <v>6.4881881037763701E-3</v>
          </cell>
          <cell r="J22">
            <v>0</v>
          </cell>
          <cell r="K22">
            <v>4.3002817262355102E-2</v>
          </cell>
          <cell r="L22">
            <v>7.2966229214681599E-2</v>
          </cell>
          <cell r="M22">
            <v>3.4147228364481301E-2</v>
          </cell>
          <cell r="N22">
            <v>5.95659649772904E-4</v>
          </cell>
          <cell r="O22">
            <v>7.8395043557611798E-3</v>
          </cell>
          <cell r="P22">
            <v>5.95659649772904E-4</v>
          </cell>
          <cell r="Q22">
            <v>2.4687668286837799E-2</v>
          </cell>
          <cell r="R22">
            <v>7.3569854080701394E-2</v>
          </cell>
          <cell r="S22">
            <v>5.2002818993923901E-2</v>
          </cell>
          <cell r="T22">
            <v>3.6426665466112298E-2</v>
          </cell>
          <cell r="U22">
            <v>0</v>
          </cell>
          <cell r="V22">
            <v>0.11951391402068499</v>
          </cell>
          <cell r="W22">
            <v>0.11405323881276699</v>
          </cell>
          <cell r="X22">
            <v>0.102611032517129</v>
          </cell>
          <cell r="Y22">
            <v>8.01820225069306E-2</v>
          </cell>
          <cell r="Z22">
            <v>9.3826784251728496E-2</v>
          </cell>
        </row>
        <row r="23">
          <cell r="A23">
            <v>22</v>
          </cell>
          <cell r="B23">
            <v>0</v>
          </cell>
          <cell r="C23">
            <v>2.0595633384946601E-2</v>
          </cell>
          <cell r="D23">
            <v>4.3614324223971997E-2</v>
          </cell>
          <cell r="E23">
            <v>5.3453513575298303E-2</v>
          </cell>
          <cell r="F23">
            <v>4.7134253569803199E-2</v>
          </cell>
          <cell r="G23">
            <v>8.1466698756381493E-3</v>
          </cell>
          <cell r="H23">
            <v>0</v>
          </cell>
          <cell r="I23">
            <v>9.0412061757082201E-3</v>
          </cell>
          <cell r="J23">
            <v>0</v>
          </cell>
          <cell r="K23">
            <v>1.1266897684215901E-2</v>
          </cell>
          <cell r="L23">
            <v>6.2967546081043504E-2</v>
          </cell>
          <cell r="M23">
            <v>1.46235386578121E-2</v>
          </cell>
          <cell r="N23">
            <v>0</v>
          </cell>
          <cell r="O23">
            <v>1.85154815125614E-2</v>
          </cell>
          <cell r="P23">
            <v>0</v>
          </cell>
          <cell r="Q23">
            <v>7.9328331029547394E-2</v>
          </cell>
          <cell r="R23">
            <v>4.8288631366560301E-2</v>
          </cell>
          <cell r="S23">
            <v>4.4197902667350998E-2</v>
          </cell>
          <cell r="T23">
            <v>4.25224219783309E-2</v>
          </cell>
          <cell r="U23">
            <v>0</v>
          </cell>
          <cell r="V23">
            <v>9.8514714767161393E-2</v>
          </cell>
          <cell r="W23">
            <v>0.140276780890432</v>
          </cell>
          <cell r="X23">
            <v>7.8668787995606795E-2</v>
          </cell>
          <cell r="Y23">
            <v>8.8243166204134596E-2</v>
          </cell>
          <cell r="Z23">
            <v>9.0600198359874803E-2</v>
          </cell>
        </row>
        <row r="24">
          <cell r="A24">
            <v>23</v>
          </cell>
          <cell r="B24">
            <v>0</v>
          </cell>
          <cell r="C24">
            <v>3.10958114136499E-2</v>
          </cell>
          <cell r="D24">
            <v>2.2171867433477099E-2</v>
          </cell>
          <cell r="E24">
            <v>2.1500517792851399E-2</v>
          </cell>
          <cell r="F24">
            <v>5.9345126024072901E-2</v>
          </cell>
          <cell r="G24">
            <v>2.8863220854456001E-2</v>
          </cell>
          <cell r="H24">
            <v>0</v>
          </cell>
          <cell r="I24">
            <v>1.95804963302013E-2</v>
          </cell>
          <cell r="J24">
            <v>0</v>
          </cell>
          <cell r="K24">
            <v>2.5704154954685501E-2</v>
          </cell>
          <cell r="L24">
            <v>4.1369193844506803E-2</v>
          </cell>
          <cell r="M24">
            <v>2.6052987201033499E-2</v>
          </cell>
          <cell r="N24">
            <v>0</v>
          </cell>
          <cell r="O24">
            <v>1.7411446511372601E-2</v>
          </cell>
          <cell r="P24">
            <v>0</v>
          </cell>
          <cell r="Q24">
            <v>5.0201356755263202E-2</v>
          </cell>
          <cell r="R24">
            <v>4.6752827482718001E-2</v>
          </cell>
          <cell r="S24">
            <v>3.8559281103914399E-2</v>
          </cell>
          <cell r="T24">
            <v>3.7971368799121698E-2</v>
          </cell>
          <cell r="U24">
            <v>0</v>
          </cell>
          <cell r="V24">
            <v>0.1169833167047</v>
          </cell>
          <cell r="W24">
            <v>0.132514855857188</v>
          </cell>
          <cell r="X24">
            <v>9.3470033641291903E-2</v>
          </cell>
          <cell r="Y24">
            <v>8.8774116198042999E-2</v>
          </cell>
          <cell r="Z24">
            <v>0.101678021097451</v>
          </cell>
        </row>
        <row r="25">
          <cell r="A25">
            <v>24</v>
          </cell>
          <cell r="B25">
            <v>0</v>
          </cell>
          <cell r="C25">
            <v>1.55294649824633E-2</v>
          </cell>
          <cell r="D25">
            <v>0</v>
          </cell>
          <cell r="E25">
            <v>2.1676399715297601E-2</v>
          </cell>
          <cell r="F25">
            <v>7.3790014835395698E-2</v>
          </cell>
          <cell r="G25">
            <v>1.6212815037774501E-2</v>
          </cell>
          <cell r="H25">
            <v>0</v>
          </cell>
          <cell r="I25">
            <v>3.2506024199703198E-3</v>
          </cell>
          <cell r="J25">
            <v>0</v>
          </cell>
          <cell r="K25">
            <v>3.9404376012965897E-2</v>
          </cell>
          <cell r="L25">
            <v>5.8846890998430698E-2</v>
          </cell>
          <cell r="M25">
            <v>9.6928515688645307E-3</v>
          </cell>
          <cell r="N25">
            <v>0</v>
          </cell>
          <cell r="O25">
            <v>0</v>
          </cell>
          <cell r="P25">
            <v>0</v>
          </cell>
          <cell r="Q25">
            <v>7.8678513544802001E-2</v>
          </cell>
          <cell r="R25">
            <v>3.3520062085702199E-2</v>
          </cell>
          <cell r="S25">
            <v>0.14268134770565799</v>
          </cell>
          <cell r="T25">
            <v>1.2531836073164999E-2</v>
          </cell>
          <cell r="U25">
            <v>0</v>
          </cell>
          <cell r="V25">
            <v>0.11662078841981501</v>
          </cell>
          <cell r="W25">
            <v>0.12947956059787499</v>
          </cell>
          <cell r="X25">
            <v>7.2798487304159901E-2</v>
          </cell>
          <cell r="Y25">
            <v>7.7971581213072294E-2</v>
          </cell>
          <cell r="Z25">
            <v>9.7314407484585697E-2</v>
          </cell>
        </row>
        <row r="26">
          <cell r="A26">
            <v>25</v>
          </cell>
          <cell r="B26">
            <v>0</v>
          </cell>
          <cell r="C26">
            <v>1.8106443685701998E-2</v>
          </cell>
          <cell r="D26">
            <v>0</v>
          </cell>
          <cell r="E26">
            <v>1.35397101882985E-2</v>
          </cell>
          <cell r="F26">
            <v>5.4528692468600301E-2</v>
          </cell>
          <cell r="G26">
            <v>1.66022995967831E-2</v>
          </cell>
          <cell r="H26">
            <v>0</v>
          </cell>
          <cell r="I26">
            <v>3.1790353808718398E-2</v>
          </cell>
          <cell r="J26">
            <v>0</v>
          </cell>
          <cell r="K26">
            <v>2.3651202681756699E-2</v>
          </cell>
          <cell r="L26">
            <v>9.5757203510755506E-2</v>
          </cell>
          <cell r="M26">
            <v>3.9350895155787199E-2</v>
          </cell>
          <cell r="N26">
            <v>0</v>
          </cell>
          <cell r="O26">
            <v>1.9495348496248E-2</v>
          </cell>
          <cell r="P26">
            <v>0</v>
          </cell>
          <cell r="Q26">
            <v>3.1624433381741798E-2</v>
          </cell>
          <cell r="R26">
            <v>2.6615446528069801E-2</v>
          </cell>
          <cell r="S26">
            <v>7.8433904240383004E-2</v>
          </cell>
          <cell r="T26">
            <v>3.3261917159249199E-2</v>
          </cell>
          <cell r="U26">
            <v>0</v>
          </cell>
          <cell r="V26">
            <v>0.118305487863373</v>
          </cell>
          <cell r="W26">
            <v>9.9434000172557199E-2</v>
          </cell>
          <cell r="X26">
            <v>0.10011457559666399</v>
          </cell>
          <cell r="Y26">
            <v>9.1265285042243294E-2</v>
          </cell>
          <cell r="Z26">
            <v>0.108122800423066</v>
          </cell>
        </row>
        <row r="27">
          <cell r="A27">
            <v>26</v>
          </cell>
          <cell r="B27">
            <v>0</v>
          </cell>
          <cell r="C27">
            <v>2.1389692704611999E-2</v>
          </cell>
          <cell r="D27">
            <v>0</v>
          </cell>
          <cell r="E27">
            <v>7.82604840401133E-3</v>
          </cell>
          <cell r="F27">
            <v>6.1849570032006702E-2</v>
          </cell>
          <cell r="G27">
            <v>2.53704988924679E-2</v>
          </cell>
          <cell r="H27">
            <v>0</v>
          </cell>
          <cell r="I27">
            <v>4.2608864690104097E-3</v>
          </cell>
          <cell r="J27">
            <v>0</v>
          </cell>
          <cell r="K27">
            <v>2.7881842783307301E-2</v>
          </cell>
          <cell r="L27">
            <v>5.3630897672221602E-2</v>
          </cell>
          <cell r="M27">
            <v>2.13496203356188E-2</v>
          </cell>
          <cell r="N27">
            <v>0</v>
          </cell>
          <cell r="O27">
            <v>2.74615092106766E-2</v>
          </cell>
          <cell r="P27">
            <v>0</v>
          </cell>
          <cell r="Q27">
            <v>3.5655882367987099E-2</v>
          </cell>
          <cell r="R27">
            <v>2.6725712307673899E-2</v>
          </cell>
          <cell r="S27">
            <v>7.7603126667905697E-2</v>
          </cell>
          <cell r="T27">
            <v>1.97420362561153E-2</v>
          </cell>
          <cell r="U27">
            <v>0</v>
          </cell>
          <cell r="V27">
            <v>0.103983534519361</v>
          </cell>
          <cell r="W27">
            <v>0.12398859898471901</v>
          </cell>
          <cell r="X27">
            <v>0.15627627084828899</v>
          </cell>
          <cell r="Y27">
            <v>0.102382771268623</v>
          </cell>
          <cell r="Z27">
            <v>0.10262150027539001</v>
          </cell>
        </row>
        <row r="28">
          <cell r="A28">
            <v>27</v>
          </cell>
          <cell r="B28">
            <v>0</v>
          </cell>
          <cell r="C28">
            <v>0</v>
          </cell>
          <cell r="D28">
            <v>2.5104318223884099E-2</v>
          </cell>
          <cell r="E28">
            <v>2.30191252029548E-2</v>
          </cell>
          <cell r="F28">
            <v>0</v>
          </cell>
          <cell r="G28">
            <v>2.0863644776825702E-2</v>
          </cell>
          <cell r="H28">
            <v>0</v>
          </cell>
          <cell r="I28">
            <v>0</v>
          </cell>
          <cell r="J28">
            <v>0</v>
          </cell>
          <cell r="K28">
            <v>5.9142165648670697E-2</v>
          </cell>
          <cell r="L28">
            <v>9.2423252010805507E-2</v>
          </cell>
          <cell r="M28">
            <v>0</v>
          </cell>
          <cell r="N28">
            <v>0</v>
          </cell>
          <cell r="O28">
            <v>0</v>
          </cell>
          <cell r="P28">
            <v>0</v>
          </cell>
          <cell r="Q28">
            <v>5.7490411626473899E-2</v>
          </cell>
          <cell r="R28">
            <v>6.4755786410632996E-2</v>
          </cell>
          <cell r="S28">
            <v>8.3895046846555493E-2</v>
          </cell>
          <cell r="T28">
            <v>1.98093336988278E-2</v>
          </cell>
          <cell r="U28">
            <v>0</v>
          </cell>
          <cell r="V28">
            <v>7.8520403262272706E-2</v>
          </cell>
          <cell r="W28">
            <v>0.15415667999784399</v>
          </cell>
          <cell r="X28">
            <v>0.15316094175751299</v>
          </cell>
          <cell r="Y28">
            <v>7.9951923414843196E-2</v>
          </cell>
          <cell r="Z28">
            <v>8.7706967121894699E-2</v>
          </cell>
        </row>
        <row r="29">
          <cell r="A29">
            <v>28</v>
          </cell>
          <cell r="B29">
            <v>0</v>
          </cell>
          <cell r="C29">
            <v>0</v>
          </cell>
          <cell r="D29">
            <v>0</v>
          </cell>
          <cell r="E29">
            <v>3.6799651967663903E-2</v>
          </cell>
          <cell r="F29">
            <v>7.9236951022195995E-2</v>
          </cell>
          <cell r="G29">
            <v>0</v>
          </cell>
          <cell r="H29">
            <v>0</v>
          </cell>
          <cell r="I29">
            <v>7.8366870182150807E-3</v>
          </cell>
          <cell r="J29">
            <v>0</v>
          </cell>
          <cell r="K29">
            <v>5.8824318163533403E-2</v>
          </cell>
          <cell r="L29">
            <v>6.4700343562742596E-2</v>
          </cell>
          <cell r="M29">
            <v>1.79960727173041E-2</v>
          </cell>
          <cell r="N29">
            <v>0</v>
          </cell>
          <cell r="O29">
            <v>0</v>
          </cell>
          <cell r="P29">
            <v>0</v>
          </cell>
          <cell r="Q29">
            <v>4.3866079064126699E-2</v>
          </cell>
          <cell r="R29">
            <v>8.3374304605766905E-2</v>
          </cell>
          <cell r="S29">
            <v>0.100997911210038</v>
          </cell>
          <cell r="T29">
            <v>2.8180786112079501E-2</v>
          </cell>
          <cell r="U29">
            <v>0</v>
          </cell>
          <cell r="V29">
            <v>0.100604586994675</v>
          </cell>
          <cell r="W29">
            <v>8.44067806710945E-2</v>
          </cell>
          <cell r="X29">
            <v>5.2458127359572802E-2</v>
          </cell>
          <cell r="Y29">
            <v>0.10188438055905601</v>
          </cell>
          <cell r="Z29">
            <v>0.13883301897193301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2</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1</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1</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0</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0</v>
          </cell>
          <cell r="M8">
            <v>0</v>
          </cell>
          <cell r="N8">
            <v>0</v>
          </cell>
          <cell r="O8">
            <v>0</v>
          </cell>
          <cell r="P8">
            <v>0</v>
          </cell>
          <cell r="Q8">
            <v>0</v>
          </cell>
          <cell r="R8">
            <v>0</v>
          </cell>
          <cell r="S8">
            <v>0</v>
          </cell>
          <cell r="T8">
            <v>0</v>
          </cell>
          <cell r="U8">
            <v>0</v>
          </cell>
          <cell r="V8">
            <v>3</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0</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2</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2</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1</v>
          </cell>
          <cell r="T15">
            <v>0</v>
          </cell>
          <cell r="U15">
            <v>0</v>
          </cell>
          <cell r="V15">
            <v>2</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0</v>
          </cell>
          <cell r="T16">
            <v>0</v>
          </cell>
          <cell r="U16">
            <v>0</v>
          </cell>
          <cell r="V16">
            <v>2</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v>
          </cell>
          <cell r="W19">
            <v>2</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0</v>
          </cell>
          <cell r="T20">
            <v>0</v>
          </cell>
          <cell r="U20">
            <v>0</v>
          </cell>
          <cell r="V20">
            <v>1</v>
          </cell>
          <cell r="W20">
            <v>1</v>
          </cell>
          <cell r="X20">
            <v>2</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2</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0</v>
          </cell>
          <cell r="T24">
            <v>0</v>
          </cell>
          <cell r="U24">
            <v>0</v>
          </cell>
          <cell r="V24">
            <v>2</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0</v>
          </cell>
          <cell r="T26">
            <v>0</v>
          </cell>
          <cell r="U26">
            <v>0</v>
          </cell>
          <cell r="V26">
            <v>1</v>
          </cell>
          <cell r="W26">
            <v>1</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2</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1</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0</v>
          </cell>
          <cell r="L4">
            <v>1</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2</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1</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0</v>
          </cell>
          <cell r="F12">
            <v>1</v>
          </cell>
          <cell r="G12">
            <v>0</v>
          </cell>
          <cell r="H12">
            <v>0</v>
          </cell>
          <cell r="I12">
            <v>0</v>
          </cell>
          <cell r="J12">
            <v>0</v>
          </cell>
          <cell r="K12">
            <v>0</v>
          </cell>
          <cell r="L12">
            <v>0</v>
          </cell>
          <cell r="M12">
            <v>0</v>
          </cell>
          <cell r="N12">
            <v>0</v>
          </cell>
          <cell r="O12">
            <v>0</v>
          </cell>
          <cell r="P12">
            <v>0</v>
          </cell>
          <cell r="Q12">
            <v>0</v>
          </cell>
          <cell r="R12">
            <v>0</v>
          </cell>
          <cell r="S12">
            <v>1</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2</v>
          </cell>
          <cell r="W15">
            <v>0</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1</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1</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0</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1</v>
          </cell>
          <cell r="M4">
            <v>0</v>
          </cell>
          <cell r="N4">
            <v>0</v>
          </cell>
          <cell r="O4">
            <v>0</v>
          </cell>
          <cell r="P4">
            <v>0</v>
          </cell>
          <cell r="Q4">
            <v>0</v>
          </cell>
          <cell r="R4">
            <v>0</v>
          </cell>
          <cell r="S4">
            <v>0</v>
          </cell>
          <cell r="T4">
            <v>0</v>
          </cell>
          <cell r="U4">
            <v>0</v>
          </cell>
          <cell r="V4">
            <v>1</v>
          </cell>
          <cell r="W4">
            <v>0</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0</v>
          </cell>
          <cell r="L7">
            <v>1</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1</v>
          </cell>
          <cell r="L13">
            <v>0</v>
          </cell>
          <cell r="M13">
            <v>0</v>
          </cell>
          <cell r="N13">
            <v>0</v>
          </cell>
          <cell r="O13">
            <v>0</v>
          </cell>
          <cell r="P13">
            <v>0</v>
          </cell>
          <cell r="Q13">
            <v>0</v>
          </cell>
          <cell r="R13">
            <v>0</v>
          </cell>
          <cell r="S13">
            <v>1</v>
          </cell>
          <cell r="T13">
            <v>0</v>
          </cell>
          <cell r="U13">
            <v>0</v>
          </cell>
          <cell r="V13">
            <v>1</v>
          </cell>
          <cell r="W13">
            <v>2</v>
          </cell>
          <cell r="X13">
            <v>1</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0</v>
          </cell>
          <cell r="X15">
            <v>2</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1</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1</v>
          </cell>
          <cell r="W20">
            <v>1</v>
          </cell>
          <cell r="X20">
            <v>2</v>
          </cell>
          <cell r="Y20">
            <v>0</v>
          </cell>
          <cell r="Z20">
            <v>0</v>
          </cell>
        </row>
        <row r="21">
          <cell r="A21">
            <v>20</v>
          </cell>
          <cell r="B21">
            <v>0</v>
          </cell>
          <cell r="C21">
            <v>0</v>
          </cell>
          <cell r="D21">
            <v>0</v>
          </cell>
          <cell r="E21">
            <v>0</v>
          </cell>
          <cell r="F21">
            <v>0</v>
          </cell>
          <cell r="G21">
            <v>1</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1</v>
          </cell>
          <cell r="L22">
            <v>1</v>
          </cell>
          <cell r="M22">
            <v>0</v>
          </cell>
          <cell r="N22">
            <v>0</v>
          </cell>
          <cell r="O22">
            <v>0</v>
          </cell>
          <cell r="P22">
            <v>0</v>
          </cell>
          <cell r="Q22">
            <v>0</v>
          </cell>
          <cell r="R22">
            <v>0</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1</v>
          </cell>
          <cell r="M24">
            <v>0</v>
          </cell>
          <cell r="N24">
            <v>0</v>
          </cell>
          <cell r="O24">
            <v>0</v>
          </cell>
          <cell r="P24">
            <v>0</v>
          </cell>
          <cell r="Q24">
            <v>1</v>
          </cell>
          <cell r="R24">
            <v>0</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1</v>
          </cell>
          <cell r="M29">
            <v>0</v>
          </cell>
          <cell r="N29">
            <v>0</v>
          </cell>
          <cell r="O29">
            <v>0</v>
          </cell>
          <cell r="P29">
            <v>0</v>
          </cell>
          <cell r="Q29">
            <v>0</v>
          </cell>
          <cell r="R29">
            <v>0</v>
          </cell>
          <cell r="S29">
            <v>1</v>
          </cell>
          <cell r="T29">
            <v>0</v>
          </cell>
          <cell r="U29">
            <v>0</v>
          </cell>
          <cell r="V29">
            <v>0</v>
          </cell>
          <cell r="W29">
            <v>0</v>
          </cell>
          <cell r="X29">
            <v>0</v>
          </cell>
          <cell r="Y29">
            <v>0</v>
          </cell>
          <cell r="Z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1</v>
          </cell>
          <cell r="S3">
            <v>0</v>
          </cell>
          <cell r="T3">
            <v>0</v>
          </cell>
          <cell r="U3">
            <v>0</v>
          </cell>
          <cell r="V3">
            <v>0</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1</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2</v>
          </cell>
          <cell r="L11">
            <v>0</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0</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1</v>
          </cell>
          <cell r="S3">
            <v>0</v>
          </cell>
          <cell r="T3">
            <v>0</v>
          </cell>
          <cell r="U3">
            <v>0</v>
          </cell>
          <cell r="V3">
            <v>0</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2</v>
          </cell>
          <cell r="L11">
            <v>0</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AMARILLOS</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2.14211112417604E-2</v>
          </cell>
          <cell r="C2">
            <v>0</v>
          </cell>
          <cell r="D2">
            <v>5.1652752512501898E-2</v>
          </cell>
          <cell r="E2">
            <v>2.62144047808434E-3</v>
          </cell>
          <cell r="F2">
            <v>2.3835049835035999E-2</v>
          </cell>
          <cell r="G2">
            <v>3.01154402152486E-2</v>
          </cell>
          <cell r="H2">
            <v>4.8952000202890696E-3</v>
          </cell>
          <cell r="I2">
            <v>0</v>
          </cell>
          <cell r="J2">
            <v>0</v>
          </cell>
          <cell r="K2">
            <v>4.60654184275507E-2</v>
          </cell>
          <cell r="L2">
            <v>3.9657760224655302E-2</v>
          </cell>
          <cell r="M2">
            <v>4.8129370508448698E-2</v>
          </cell>
          <cell r="N2">
            <v>3.87664243505767E-2</v>
          </cell>
          <cell r="O2">
            <v>3.4632064574586501E-2</v>
          </cell>
          <cell r="P2">
            <v>9.8752452556999607E-3</v>
          </cell>
          <cell r="Q2">
            <v>1.5119970673066901E-2</v>
          </cell>
          <cell r="R2">
            <v>3.10256818166098E-2</v>
          </cell>
          <cell r="S2">
            <v>4.1724478997350899E-2</v>
          </cell>
          <cell r="T2">
            <v>2.3828133105542298E-2</v>
          </cell>
          <cell r="U2">
            <v>0</v>
          </cell>
          <cell r="V2">
            <v>0.14936815676075699</v>
          </cell>
          <cell r="W2">
            <v>7.9214536198703805E-2</v>
          </cell>
          <cell r="X2">
            <v>5.1171348139745602E-2</v>
          </cell>
          <cell r="Y2">
            <v>0.100797498910615</v>
          </cell>
          <cell r="Z2">
            <v>0.15608291775316899</v>
          </cell>
        </row>
        <row r="3">
          <cell r="A3">
            <v>2</v>
          </cell>
          <cell r="B3">
            <v>2.8733392238045701E-2</v>
          </cell>
          <cell r="C3">
            <v>0</v>
          </cell>
          <cell r="D3">
            <v>3.92678810832209E-2</v>
          </cell>
          <cell r="E3">
            <v>7.3562871257833199E-3</v>
          </cell>
          <cell r="F3">
            <v>3.69222355766778E-2</v>
          </cell>
          <cell r="G3">
            <v>3.5416288309319102E-2</v>
          </cell>
          <cell r="H3">
            <v>3.7165744665076301E-3</v>
          </cell>
          <cell r="I3">
            <v>5.458548699437E-4</v>
          </cell>
          <cell r="J3">
            <v>0</v>
          </cell>
          <cell r="K3">
            <v>2.9251699292123099E-2</v>
          </cell>
          <cell r="L3">
            <v>5.5966958945591998E-2</v>
          </cell>
          <cell r="M3">
            <v>5.7784094503292402E-2</v>
          </cell>
          <cell r="N3">
            <v>5.9714142096395596E-3</v>
          </cell>
          <cell r="O3">
            <v>1.8499888788447001E-2</v>
          </cell>
          <cell r="P3">
            <v>9.9811518524035598E-3</v>
          </cell>
          <cell r="Q3">
            <v>3.4978584123887602E-2</v>
          </cell>
          <cell r="R3">
            <v>4.3899995306668403E-2</v>
          </cell>
          <cell r="S3">
            <v>2.9376174608259802E-2</v>
          </cell>
          <cell r="T3">
            <v>3.71089485508828E-2</v>
          </cell>
          <cell r="U3">
            <v>0</v>
          </cell>
          <cell r="V3">
            <v>0.118930042831752</v>
          </cell>
          <cell r="W3">
            <v>9.0656801147621605E-2</v>
          </cell>
          <cell r="X3">
            <v>5.9099247638539999E-2</v>
          </cell>
          <cell r="Y3">
            <v>0.108783263987658</v>
          </cell>
          <cell r="Z3">
            <v>0.14775322054373199</v>
          </cell>
        </row>
        <row r="4">
          <cell r="A4">
            <v>3</v>
          </cell>
          <cell r="B4">
            <v>1.1644213188464E-2</v>
          </cell>
          <cell r="C4">
            <v>0</v>
          </cell>
          <cell r="D4">
            <v>3.2988518322921899E-2</v>
          </cell>
          <cell r="E4">
            <v>3.5122528030903898E-2</v>
          </cell>
          <cell r="F4">
            <v>4.0888614897775802E-2</v>
          </cell>
          <cell r="G4">
            <v>5.99500503914542E-2</v>
          </cell>
          <cell r="H4">
            <v>2.41612470429649E-3</v>
          </cell>
          <cell r="I4">
            <v>0</v>
          </cell>
          <cell r="J4">
            <v>0</v>
          </cell>
          <cell r="K4">
            <v>5.22682466509145E-2</v>
          </cell>
          <cell r="L4">
            <v>4.3295096143528299E-2</v>
          </cell>
          <cell r="M4">
            <v>5.48309519250798E-2</v>
          </cell>
          <cell r="N4">
            <v>2.1583813577568801E-3</v>
          </cell>
          <cell r="O4">
            <v>1.8237708798410999E-2</v>
          </cell>
          <cell r="P4">
            <v>1.28257998635187E-3</v>
          </cell>
          <cell r="Q4">
            <v>2.1355877284710601E-2</v>
          </cell>
          <cell r="R4">
            <v>4.5316014383130702E-2</v>
          </cell>
          <cell r="S4">
            <v>3.8294349213830098E-2</v>
          </cell>
          <cell r="T4">
            <v>3.9898670044331799E-2</v>
          </cell>
          <cell r="U4">
            <v>0</v>
          </cell>
          <cell r="V4">
            <v>9.9653571901977503E-2</v>
          </cell>
          <cell r="W4">
            <v>6.4025025300928504E-2</v>
          </cell>
          <cell r="X4">
            <v>4.07024084800717E-2</v>
          </cell>
          <cell r="Y4">
            <v>0.117907060905278</v>
          </cell>
          <cell r="Z4">
            <v>0.17776400808788101</v>
          </cell>
        </row>
        <row r="5">
          <cell r="A5">
            <v>4</v>
          </cell>
          <cell r="B5">
            <v>0</v>
          </cell>
          <cell r="C5">
            <v>2.2339755491591499E-2</v>
          </cell>
          <cell r="D5">
            <v>1.10088279886013E-2</v>
          </cell>
          <cell r="E5">
            <v>0</v>
          </cell>
          <cell r="F5">
            <v>3.9026356767269697E-2</v>
          </cell>
          <cell r="G5">
            <v>8.6418068756962493E-2</v>
          </cell>
          <cell r="H5">
            <v>1.54135901376E-2</v>
          </cell>
          <cell r="I5">
            <v>7.1805624226807302E-4</v>
          </cell>
          <cell r="J5">
            <v>0</v>
          </cell>
          <cell r="K5">
            <v>7.5816481237190397E-2</v>
          </cell>
          <cell r="L5">
            <v>1.9479840058101001E-2</v>
          </cell>
          <cell r="M5">
            <v>2.6814271675553399E-2</v>
          </cell>
          <cell r="N5">
            <v>6.0275692565245603E-3</v>
          </cell>
          <cell r="O5">
            <v>1.43200930600889E-2</v>
          </cell>
          <cell r="P5">
            <v>1.2838845611753099E-2</v>
          </cell>
          <cell r="Q5">
            <v>3.7569728390097298E-2</v>
          </cell>
          <cell r="R5">
            <v>4.69198464590595E-2</v>
          </cell>
          <cell r="S5">
            <v>8.1845076288346696E-2</v>
          </cell>
          <cell r="T5">
            <v>2.5435603690398701E-2</v>
          </cell>
          <cell r="U5">
            <v>0</v>
          </cell>
          <cell r="V5">
            <v>7.8710247893530705E-2</v>
          </cell>
          <cell r="W5">
            <v>0.109131213494533</v>
          </cell>
          <cell r="X5">
            <v>5.4464565976033302E-2</v>
          </cell>
          <cell r="Y5">
            <v>0.10167676390515901</v>
          </cell>
          <cell r="Z5">
            <v>0.13402519761933501</v>
          </cell>
        </row>
        <row r="6">
          <cell r="A6">
            <v>5</v>
          </cell>
          <cell r="B6">
            <v>8.2651865922530598E-3</v>
          </cell>
          <cell r="C6">
            <v>1.2370970399822399E-2</v>
          </cell>
          <cell r="D6">
            <v>3.022751961829E-2</v>
          </cell>
          <cell r="E6">
            <v>1.1546310531803701E-2</v>
          </cell>
          <cell r="F6">
            <v>4.94845965189845E-2</v>
          </cell>
          <cell r="G6">
            <v>2.04113147480426E-2</v>
          </cell>
          <cell r="H6">
            <v>1.7181903333086601E-3</v>
          </cell>
          <cell r="I6">
            <v>6.3806582766074297E-3</v>
          </cell>
          <cell r="J6">
            <v>0</v>
          </cell>
          <cell r="K6">
            <v>7.6278714302719097E-2</v>
          </cell>
          <cell r="L6">
            <v>6.26180287733729E-2</v>
          </cell>
          <cell r="M6">
            <v>3.9467499214481901E-2</v>
          </cell>
          <cell r="N6">
            <v>1.7181903333086601E-3</v>
          </cell>
          <cell r="O6">
            <v>1.1204936377509E-2</v>
          </cell>
          <cell r="P6">
            <v>1.7181903333086601E-3</v>
          </cell>
          <cell r="Q6">
            <v>2.78675697055638E-2</v>
          </cell>
          <cell r="R6">
            <v>3.1660218686785403E-2</v>
          </cell>
          <cell r="S6">
            <v>6.00285896385973E-2</v>
          </cell>
          <cell r="T6">
            <v>2.8225744472687699E-2</v>
          </cell>
          <cell r="U6">
            <v>0</v>
          </cell>
          <cell r="V6">
            <v>8.3010040689654396E-2</v>
          </cell>
          <cell r="W6">
            <v>8.6440225385582894E-2</v>
          </cell>
          <cell r="X6">
            <v>9.4297192832072094E-2</v>
          </cell>
          <cell r="Y6">
            <v>0.115193223133228</v>
          </cell>
          <cell r="Z6">
            <v>0.139866889102014</v>
          </cell>
        </row>
        <row r="7">
          <cell r="A7">
            <v>6</v>
          </cell>
          <cell r="B7">
            <v>0</v>
          </cell>
          <cell r="C7">
            <v>8.4679268527256494E-3</v>
          </cell>
          <cell r="D7">
            <v>1.3054156487423601E-2</v>
          </cell>
          <cell r="E7">
            <v>4.7873231547483699E-3</v>
          </cell>
          <cell r="F7">
            <v>6.2424166872084699E-2</v>
          </cell>
          <cell r="G7">
            <v>2.64913213903149E-2</v>
          </cell>
          <cell r="H7">
            <v>5.8641465201795702E-3</v>
          </cell>
          <cell r="I7">
            <v>1.38720684203074E-2</v>
          </cell>
          <cell r="J7">
            <v>0</v>
          </cell>
          <cell r="K7">
            <v>5.9324562685052498E-2</v>
          </cell>
          <cell r="L7">
            <v>4.6771870824066003E-2</v>
          </cell>
          <cell r="M7">
            <v>1.5639886349726701E-2</v>
          </cell>
          <cell r="N7">
            <v>5.8641465201795702E-3</v>
          </cell>
          <cell r="O7">
            <v>1.7106487056966699E-2</v>
          </cell>
          <cell r="P7">
            <v>1.33917566886863E-2</v>
          </cell>
          <cell r="Q7">
            <v>3.8530703003767403E-2</v>
          </cell>
          <cell r="R7">
            <v>4.1236581308625203E-2</v>
          </cell>
          <cell r="S7">
            <v>5.2488793196326503E-2</v>
          </cell>
          <cell r="T7">
            <v>2.2965274843792901E-2</v>
          </cell>
          <cell r="U7">
            <v>0</v>
          </cell>
          <cell r="V7">
            <v>0.13512017946679999</v>
          </cell>
          <cell r="W7">
            <v>0.127718076474201</v>
          </cell>
          <cell r="X7">
            <v>5.7587769001363302E-2</v>
          </cell>
          <cell r="Y7">
            <v>9.2426868801849194E-2</v>
          </cell>
          <cell r="Z7">
            <v>0.13886593408080999</v>
          </cell>
        </row>
        <row r="8">
          <cell r="A8">
            <v>7</v>
          </cell>
          <cell r="B8">
            <v>0</v>
          </cell>
          <cell r="C8">
            <v>4.0683463052404297E-3</v>
          </cell>
          <cell r="D8">
            <v>7.3163289428187003E-3</v>
          </cell>
          <cell r="E8">
            <v>1.7359134293681799E-2</v>
          </cell>
          <cell r="F8">
            <v>0.10629133758727</v>
          </cell>
          <cell r="G8">
            <v>1.21342097028849E-2</v>
          </cell>
          <cell r="H8">
            <v>5.9560295036047602E-3</v>
          </cell>
          <cell r="I8">
            <v>1.07887535164313E-3</v>
          </cell>
          <cell r="J8">
            <v>0</v>
          </cell>
          <cell r="K8">
            <v>6.3228371612488302E-2</v>
          </cell>
          <cell r="L8">
            <v>4.2710911912666599E-2</v>
          </cell>
          <cell r="M8">
            <v>3.1641531261832799E-2</v>
          </cell>
          <cell r="N8">
            <v>5.9560295036047602E-3</v>
          </cell>
          <cell r="O8">
            <v>1.13093631736508E-2</v>
          </cell>
          <cell r="P8">
            <v>1.7595032431511001E-2</v>
          </cell>
          <cell r="Q8">
            <v>3.0007677647585499E-2</v>
          </cell>
          <cell r="R8">
            <v>3.20025510470918E-2</v>
          </cell>
          <cell r="S8">
            <v>3.4268488142980502E-2</v>
          </cell>
          <cell r="T8">
            <v>2.5098346511451999E-2</v>
          </cell>
          <cell r="U8">
            <v>0</v>
          </cell>
          <cell r="V8">
            <v>0.152693437718259</v>
          </cell>
          <cell r="W8">
            <v>8.2577597586666399E-2</v>
          </cell>
          <cell r="X8">
            <v>6.7865742479924995E-2</v>
          </cell>
          <cell r="Y8">
            <v>9.5277245562489996E-2</v>
          </cell>
          <cell r="Z8">
            <v>0.15356341172064999</v>
          </cell>
        </row>
        <row r="9">
          <cell r="A9">
            <v>8</v>
          </cell>
          <cell r="B9">
            <v>4.8985471717335497E-3</v>
          </cell>
          <cell r="C9">
            <v>0</v>
          </cell>
          <cell r="D9">
            <v>2.0322503003270601E-2</v>
          </cell>
          <cell r="E9">
            <v>1.45862694730854E-2</v>
          </cell>
          <cell r="F9">
            <v>0.137276543372437</v>
          </cell>
          <cell r="G9">
            <v>1.8069224830557999E-2</v>
          </cell>
          <cell r="H9">
            <v>3.0548045520417898E-3</v>
          </cell>
          <cell r="I9">
            <v>2.43990648601188E-3</v>
          </cell>
          <cell r="J9">
            <v>3.1033647871625401E-2</v>
          </cell>
          <cell r="K9">
            <v>7.2019616312884699E-2</v>
          </cell>
          <cell r="L9">
            <v>4.0093506851275197E-2</v>
          </cell>
          <cell r="M9">
            <v>3.0648793883301599E-2</v>
          </cell>
          <cell r="N9">
            <v>2.1141336214712699E-2</v>
          </cell>
          <cell r="O9">
            <v>2.72213274411598E-2</v>
          </cell>
          <cell r="P9">
            <v>3.0548045520417898E-3</v>
          </cell>
          <cell r="Q9">
            <v>2.1918299976644701E-2</v>
          </cell>
          <cell r="R9">
            <v>2.7566750399618301E-2</v>
          </cell>
          <cell r="S9">
            <v>3.5892942434443201E-2</v>
          </cell>
          <cell r="T9">
            <v>1.18095042341967E-2</v>
          </cell>
          <cell r="U9">
            <v>0</v>
          </cell>
          <cell r="V9">
            <v>0.136010825155855</v>
          </cell>
          <cell r="W9">
            <v>7.1687039662798602E-2</v>
          </cell>
          <cell r="X9">
            <v>5.7095239140274999E-2</v>
          </cell>
          <cell r="Y9">
            <v>8.3908696290610596E-2</v>
          </cell>
          <cell r="Z9">
            <v>0.12824987068941601</v>
          </cell>
        </row>
        <row r="10">
          <cell r="A10">
            <v>9</v>
          </cell>
          <cell r="B10">
            <v>5.07818480744982E-3</v>
          </cell>
          <cell r="C10">
            <v>0</v>
          </cell>
          <cell r="D10">
            <v>2.8896354528642601E-2</v>
          </cell>
          <cell r="E10">
            <v>1.4803022274807599E-2</v>
          </cell>
          <cell r="F10">
            <v>7.4110235488295303E-2</v>
          </cell>
          <cell r="G10">
            <v>1.99028504902766E-2</v>
          </cell>
          <cell r="H10">
            <v>1.0809234556381801E-3</v>
          </cell>
          <cell r="I10">
            <v>0</v>
          </cell>
          <cell r="J10">
            <v>2.7561944903364801E-2</v>
          </cell>
          <cell r="K10">
            <v>9.98383691665337E-2</v>
          </cell>
          <cell r="L10">
            <v>2.9824883452919799E-2</v>
          </cell>
          <cell r="M10">
            <v>3.1645067347071197E-2</v>
          </cell>
          <cell r="N10">
            <v>1.74831531007477E-2</v>
          </cell>
          <cell r="O10">
            <v>7.4284985967857098E-3</v>
          </cell>
          <cell r="P10">
            <v>1.0809234556381801E-3</v>
          </cell>
          <cell r="Q10">
            <v>4.2835243698094203E-2</v>
          </cell>
          <cell r="R10">
            <v>2.6434350065825299E-2</v>
          </cell>
          <cell r="S10">
            <v>5.2144046766862198E-2</v>
          </cell>
          <cell r="T10">
            <v>2.4456783859041001E-2</v>
          </cell>
          <cell r="U10">
            <v>0</v>
          </cell>
          <cell r="V10">
            <v>9.8133349579249393E-2</v>
          </cell>
          <cell r="W10">
            <v>9.05081898923146E-2</v>
          </cell>
          <cell r="X10">
            <v>6.2312707699896198E-2</v>
          </cell>
          <cell r="Y10">
            <v>9.2223630379756297E-2</v>
          </cell>
          <cell r="Z10">
            <v>0.15221728699078799</v>
          </cell>
        </row>
        <row r="11">
          <cell r="A11">
            <v>10</v>
          </cell>
          <cell r="B11">
            <v>8.4008583481277495E-3</v>
          </cell>
          <cell r="C11">
            <v>0</v>
          </cell>
          <cell r="D11">
            <v>1.19203707021515E-2</v>
          </cell>
          <cell r="E11">
            <v>2.9660447578871901E-2</v>
          </cell>
          <cell r="F11">
            <v>0.162897209961398</v>
          </cell>
          <cell r="G11">
            <v>1.98087854455429E-2</v>
          </cell>
          <cell r="H11">
            <v>2.2074911369176502E-3</v>
          </cell>
          <cell r="I11">
            <v>2.8777871882991E-3</v>
          </cell>
          <cell r="J11">
            <v>3.67967897454273E-2</v>
          </cell>
          <cell r="K11">
            <v>9.7689015749955199E-2</v>
          </cell>
          <cell r="L11">
            <v>3.4845350750036599E-2</v>
          </cell>
          <cell r="M11">
            <v>1.30725035425183E-2</v>
          </cell>
          <cell r="N11">
            <v>8.7071979629840708E-3</v>
          </cell>
          <cell r="O11">
            <v>1.5867224782969799E-2</v>
          </cell>
          <cell r="P11">
            <v>2.2074911369176502E-3</v>
          </cell>
          <cell r="Q11">
            <v>2.2478296985194698E-2</v>
          </cell>
          <cell r="R11">
            <v>1.3061305926999601E-2</v>
          </cell>
          <cell r="S11">
            <v>4.7347793866149797E-2</v>
          </cell>
          <cell r="T11">
            <v>1.2762227796146299E-2</v>
          </cell>
          <cell r="U11">
            <v>0</v>
          </cell>
          <cell r="V11">
            <v>0.112442993957359</v>
          </cell>
          <cell r="W11">
            <v>9.5315528446015194E-2</v>
          </cell>
          <cell r="X11">
            <v>7.6341067153118197E-2</v>
          </cell>
          <cell r="Y11">
            <v>6.7329226183689694E-2</v>
          </cell>
          <cell r="Z11">
            <v>0.105963035653207</v>
          </cell>
        </row>
        <row r="12">
          <cell r="A12">
            <v>11</v>
          </cell>
          <cell r="B12">
            <v>2.2687785839561599E-2</v>
          </cell>
          <cell r="C12">
            <v>0</v>
          </cell>
          <cell r="D12">
            <v>1.0441272575784E-2</v>
          </cell>
          <cell r="E12">
            <v>8.3051347045999105E-2</v>
          </cell>
          <cell r="F12">
            <v>7.5916110474036402E-2</v>
          </cell>
          <cell r="G12">
            <v>1.13437461283767E-2</v>
          </cell>
          <cell r="H12">
            <v>2.0938325885137398E-3</v>
          </cell>
          <cell r="I12">
            <v>4.4125496081550203E-3</v>
          </cell>
          <cell r="J12">
            <v>2.5073146156678099E-2</v>
          </cell>
          <cell r="K12">
            <v>2.7953487088521599E-2</v>
          </cell>
          <cell r="L12">
            <v>3.1199045033841199E-2</v>
          </cell>
          <cell r="M12">
            <v>2.3926998873229099E-3</v>
          </cell>
          <cell r="N12">
            <v>7.8950288797408393E-3</v>
          </cell>
          <cell r="O12">
            <v>7.37157073261241E-3</v>
          </cell>
          <cell r="P12">
            <v>2.0938325885137398E-3</v>
          </cell>
          <cell r="Q12">
            <v>2.2648739326063001E-2</v>
          </cell>
          <cell r="R12">
            <v>9.5112022392147902E-3</v>
          </cell>
          <cell r="S12">
            <v>3.0585456964576801E-2</v>
          </cell>
          <cell r="T12">
            <v>1.44372281790174E-2</v>
          </cell>
          <cell r="U12">
            <v>0</v>
          </cell>
          <cell r="V12">
            <v>0.19387915074713799</v>
          </cell>
          <cell r="W12">
            <v>0.13586836216609999</v>
          </cell>
          <cell r="X12">
            <v>0.12403873649005299</v>
          </cell>
          <cell r="Y12">
            <v>6.69588989940091E-2</v>
          </cell>
          <cell r="Z12">
            <v>8.8146770266168004E-2</v>
          </cell>
        </row>
        <row r="13">
          <cell r="A13">
            <v>12</v>
          </cell>
          <cell r="B13">
            <v>1.5211849459784699E-2</v>
          </cell>
          <cell r="C13">
            <v>0</v>
          </cell>
          <cell r="D13">
            <v>2.54804387907616E-2</v>
          </cell>
          <cell r="E13">
            <v>1.80586163508289E-2</v>
          </cell>
          <cell r="F13">
            <v>5.9320712553139601E-2</v>
          </cell>
          <cell r="G13">
            <v>1.6918545873744899E-2</v>
          </cell>
          <cell r="H13">
            <v>3.4171809408823999E-3</v>
          </cell>
          <cell r="I13">
            <v>1.1247286195873899E-2</v>
          </cell>
          <cell r="J13">
            <v>4.4920276889843999E-2</v>
          </cell>
          <cell r="K13">
            <v>9.71635064713091E-2</v>
          </cell>
          <cell r="L13">
            <v>2.45458355607437E-2</v>
          </cell>
          <cell r="M13">
            <v>2.27204954488095E-2</v>
          </cell>
          <cell r="N13">
            <v>3.5270286405583801E-2</v>
          </cell>
          <cell r="O13">
            <v>1.5862798791198E-2</v>
          </cell>
          <cell r="P13">
            <v>3.4171809408823999E-3</v>
          </cell>
          <cell r="Q13">
            <v>2.4901993941443601E-2</v>
          </cell>
          <cell r="R13">
            <v>1.8880030765538201E-2</v>
          </cell>
          <cell r="S13">
            <v>4.1048219344468499E-2</v>
          </cell>
          <cell r="T13">
            <v>3.1617863649752803E-2</v>
          </cell>
          <cell r="U13">
            <v>0</v>
          </cell>
          <cell r="V13">
            <v>9.3772160460828397E-2</v>
          </cell>
          <cell r="W13">
            <v>0.117121103850056</v>
          </cell>
          <cell r="X13">
            <v>4.3340179211078501E-2</v>
          </cell>
          <cell r="Y13">
            <v>9.3881939974471099E-2</v>
          </cell>
          <cell r="Z13">
            <v>0.14188149812897499</v>
          </cell>
        </row>
        <row r="14">
          <cell r="A14">
            <v>13</v>
          </cell>
          <cell r="B14">
            <v>1.21801169720484E-2</v>
          </cell>
          <cell r="C14">
            <v>0</v>
          </cell>
          <cell r="D14">
            <v>2.5604704045175401E-2</v>
          </cell>
          <cell r="E14">
            <v>1.6346112927428099E-2</v>
          </cell>
          <cell r="F14">
            <v>9.0928837995008005E-2</v>
          </cell>
          <cell r="G14">
            <v>2.5328278483026798E-2</v>
          </cell>
          <cell r="H14">
            <v>3.30230484151786E-3</v>
          </cell>
          <cell r="I14">
            <v>9.8395658601479006E-3</v>
          </cell>
          <cell r="J14">
            <v>3.1465147991289001E-2</v>
          </cell>
          <cell r="K14">
            <v>9.9967990882026903E-2</v>
          </cell>
          <cell r="L14">
            <v>3.0337612933903899E-2</v>
          </cell>
          <cell r="M14">
            <v>7.0816010479748202E-3</v>
          </cell>
          <cell r="N14">
            <v>1.16838831315648E-2</v>
          </cell>
          <cell r="O14">
            <v>7.8897850208429297E-3</v>
          </cell>
          <cell r="P14">
            <v>3.30230484151786E-3</v>
          </cell>
          <cell r="Q14">
            <v>2.05953695942983E-2</v>
          </cell>
          <cell r="R14">
            <v>3.3089286936764398E-2</v>
          </cell>
          <cell r="S14">
            <v>8.0669268101341202E-2</v>
          </cell>
          <cell r="T14">
            <v>2.5916654177559902E-2</v>
          </cell>
          <cell r="U14">
            <v>0</v>
          </cell>
          <cell r="V14">
            <v>0.10105186032183</v>
          </cell>
          <cell r="W14">
            <v>9.2068584623411803E-2</v>
          </cell>
          <cell r="X14">
            <v>4.5647592562783203E-2</v>
          </cell>
          <cell r="Y14">
            <v>8.9088961294870497E-2</v>
          </cell>
          <cell r="Z14">
            <v>0.13661417541366599</v>
          </cell>
        </row>
        <row r="15">
          <cell r="A15">
            <v>14</v>
          </cell>
          <cell r="B15">
            <v>4.5862756994439402E-3</v>
          </cell>
          <cell r="C15">
            <v>0</v>
          </cell>
          <cell r="D15">
            <v>1.0615910981567001E-2</v>
          </cell>
          <cell r="E15">
            <v>1.9774951994345601E-2</v>
          </cell>
          <cell r="F15">
            <v>7.0075870825697203E-2</v>
          </cell>
          <cell r="G15">
            <v>2.0116714724444401E-2</v>
          </cell>
          <cell r="H15">
            <v>0</v>
          </cell>
          <cell r="I15">
            <v>1.24820956110009E-2</v>
          </cell>
          <cell r="J15">
            <v>2.8019289829056E-2</v>
          </cell>
          <cell r="K15">
            <v>5.4328765238276899E-2</v>
          </cell>
          <cell r="L15">
            <v>3.7997210355460699E-2</v>
          </cell>
          <cell r="M15">
            <v>2.9571232885280501E-2</v>
          </cell>
          <cell r="N15">
            <v>1.0518085778442101E-2</v>
          </cell>
          <cell r="O15">
            <v>1.2997491821838E-2</v>
          </cell>
          <cell r="P15">
            <v>0</v>
          </cell>
          <cell r="Q15">
            <v>2.7546176122894402E-2</v>
          </cell>
          <cell r="R15">
            <v>3.3917824327451697E-2</v>
          </cell>
          <cell r="S15">
            <v>8.1659275568092896E-2</v>
          </cell>
          <cell r="T15">
            <v>2.3261131995221299E-2</v>
          </cell>
          <cell r="U15">
            <v>0</v>
          </cell>
          <cell r="V15">
            <v>0.13019533766583</v>
          </cell>
          <cell r="W15">
            <v>6.4444791933799095E-2</v>
          </cell>
          <cell r="X15">
            <v>0.11550329315661401</v>
          </cell>
          <cell r="Y15">
            <v>8.9645164720378798E-2</v>
          </cell>
          <cell r="Z15">
            <v>0.122743108764862</v>
          </cell>
        </row>
        <row r="16">
          <cell r="A16">
            <v>15</v>
          </cell>
          <cell r="B16">
            <v>0</v>
          </cell>
          <cell r="C16">
            <v>3.59135236418868E-3</v>
          </cell>
          <cell r="D16">
            <v>1.8761419425748601E-2</v>
          </cell>
          <cell r="E16">
            <v>4.0881797663491698E-3</v>
          </cell>
          <cell r="F16">
            <v>5.6560453755508201E-2</v>
          </cell>
          <cell r="G16">
            <v>2.9950378095792301E-2</v>
          </cell>
          <cell r="H16">
            <v>0</v>
          </cell>
          <cell r="I16">
            <v>3.5690458277651401E-3</v>
          </cell>
          <cell r="J16">
            <v>2.6070257478266301E-2</v>
          </cell>
          <cell r="K16">
            <v>4.6960126052209401E-2</v>
          </cell>
          <cell r="L16">
            <v>3.99579014821679E-2</v>
          </cell>
          <cell r="M16">
            <v>2.8543038434162199E-2</v>
          </cell>
          <cell r="N16">
            <v>0</v>
          </cell>
          <cell r="O16">
            <v>4.6081248517122197E-3</v>
          </cell>
          <cell r="P16">
            <v>0</v>
          </cell>
          <cell r="Q16">
            <v>8.3031012169229507E-2</v>
          </cell>
          <cell r="R16">
            <v>5.7822192570301002E-2</v>
          </cell>
          <cell r="S16">
            <v>6.0306329581103497E-2</v>
          </cell>
          <cell r="T16">
            <v>1.53424357521054E-2</v>
          </cell>
          <cell r="U16">
            <v>0</v>
          </cell>
          <cell r="V16">
            <v>0.13144592996964199</v>
          </cell>
          <cell r="W16">
            <v>9.8629770303510805E-2</v>
          </cell>
          <cell r="X16">
            <v>8.3731031839538894E-2</v>
          </cell>
          <cell r="Y16">
            <v>7.8843466922448202E-2</v>
          </cell>
          <cell r="Z16">
            <v>0.128187553358249</v>
          </cell>
        </row>
        <row r="17">
          <cell r="A17">
            <v>16</v>
          </cell>
          <cell r="B17">
            <v>0</v>
          </cell>
          <cell r="C17">
            <v>6.4233143796226799E-3</v>
          </cell>
          <cell r="D17">
            <v>3.3814107915729301E-2</v>
          </cell>
          <cell r="E17">
            <v>1.63095010407843E-2</v>
          </cell>
          <cell r="F17">
            <v>5.3663894952119803E-2</v>
          </cell>
          <cell r="G17">
            <v>3.7330613227929202E-2</v>
          </cell>
          <cell r="H17">
            <v>0</v>
          </cell>
          <cell r="I17">
            <v>1.6990539335780201E-2</v>
          </cell>
          <cell r="J17">
            <v>8.3374064078316299E-3</v>
          </cell>
          <cell r="K17">
            <v>3.5836983921222101E-2</v>
          </cell>
          <cell r="L17">
            <v>6.9167888589016097E-2</v>
          </cell>
          <cell r="M17">
            <v>1.5490332393237299E-2</v>
          </cell>
          <cell r="N17">
            <v>0</v>
          </cell>
          <cell r="O17">
            <v>6.4309039594331796E-3</v>
          </cell>
          <cell r="P17">
            <v>0</v>
          </cell>
          <cell r="Q17">
            <v>2.37164249638483E-2</v>
          </cell>
          <cell r="R17">
            <v>7.0856317110859393E-2</v>
          </cell>
          <cell r="S17">
            <v>8.6578384674310796E-2</v>
          </cell>
          <cell r="T17">
            <v>1.02221520607733E-2</v>
          </cell>
          <cell r="U17">
            <v>0</v>
          </cell>
          <cell r="V17">
            <v>9.4064240227404006E-2</v>
          </cell>
          <cell r="W17">
            <v>0.115176427372274</v>
          </cell>
          <cell r="X17">
            <v>0.138317056214499</v>
          </cell>
          <cell r="Y17">
            <v>7.8805137032393294E-2</v>
          </cell>
          <cell r="Z17">
            <v>8.2468374220929605E-2</v>
          </cell>
        </row>
        <row r="18">
          <cell r="A18">
            <v>17</v>
          </cell>
          <cell r="B18">
            <v>6.3784891365126998E-3</v>
          </cell>
          <cell r="C18">
            <v>1.1086713952516E-2</v>
          </cell>
          <cell r="D18">
            <v>3.4763852016785099E-2</v>
          </cell>
          <cell r="E18">
            <v>4.1414054274617203E-2</v>
          </cell>
          <cell r="F18">
            <v>3.8775320010679598E-2</v>
          </cell>
          <cell r="G18">
            <v>2.87619201144532E-2</v>
          </cell>
          <cell r="H18">
            <v>0</v>
          </cell>
          <cell r="I18">
            <v>3.58138673813277E-3</v>
          </cell>
          <cell r="J18">
            <v>7.0887843876096196E-3</v>
          </cell>
          <cell r="K18">
            <v>3.7228475786992003E-2</v>
          </cell>
          <cell r="L18">
            <v>6.2802253298339106E-2</v>
          </cell>
          <cell r="M18">
            <v>2.1811668488582299E-2</v>
          </cell>
          <cell r="N18">
            <v>0</v>
          </cell>
          <cell r="O18">
            <v>1.20334594401261E-3</v>
          </cell>
          <cell r="P18">
            <v>0</v>
          </cell>
          <cell r="Q18">
            <v>2.7079691600884501E-2</v>
          </cell>
          <cell r="R18">
            <v>9.00582593232548E-2</v>
          </cell>
          <cell r="S18">
            <v>4.6422328458659297E-2</v>
          </cell>
          <cell r="T18">
            <v>2.5505770519220702E-2</v>
          </cell>
          <cell r="U18">
            <v>0</v>
          </cell>
          <cell r="V18">
            <v>9.1292775138658702E-2</v>
          </cell>
          <cell r="W18">
            <v>0.113671168561626</v>
          </cell>
          <cell r="X18">
            <v>0.108318451556352</v>
          </cell>
          <cell r="Y18">
            <v>8.7803008931584894E-2</v>
          </cell>
          <cell r="Z18">
            <v>0.11495228176052399</v>
          </cell>
        </row>
        <row r="19">
          <cell r="A19">
            <v>18</v>
          </cell>
          <cell r="B19">
            <v>0</v>
          </cell>
          <cell r="C19">
            <v>5.9670510291354797E-3</v>
          </cell>
          <cell r="D19">
            <v>1.8335120434979899E-2</v>
          </cell>
          <cell r="E19">
            <v>1.46855755883723E-2</v>
          </cell>
          <cell r="F19">
            <v>5.28415518913442E-2</v>
          </cell>
          <cell r="G19">
            <v>8.7818114640913093E-3</v>
          </cell>
          <cell r="H19">
            <v>0</v>
          </cell>
          <cell r="I19">
            <v>8.1368877670029306E-3</v>
          </cell>
          <cell r="J19">
            <v>1.7792661250513001E-3</v>
          </cell>
          <cell r="K19">
            <v>4.5773911450168098E-2</v>
          </cell>
          <cell r="L19">
            <v>5.5204263005910997E-2</v>
          </cell>
          <cell r="M19">
            <v>1.0033686715355299E-2</v>
          </cell>
          <cell r="N19">
            <v>0</v>
          </cell>
          <cell r="O19">
            <v>0</v>
          </cell>
          <cell r="P19">
            <v>0</v>
          </cell>
          <cell r="Q19">
            <v>6.6359032035831197E-2</v>
          </cell>
          <cell r="R19">
            <v>4.5420710247837497E-2</v>
          </cell>
          <cell r="S19">
            <v>4.2913343350746203E-2</v>
          </cell>
          <cell r="T19">
            <v>2.40351609988722E-2</v>
          </cell>
          <cell r="U19">
            <v>0</v>
          </cell>
          <cell r="V19">
            <v>0.10860334239240101</v>
          </cell>
          <cell r="W19">
            <v>0.188348458903593</v>
          </cell>
          <cell r="X19">
            <v>0.14619998300294501</v>
          </cell>
          <cell r="Y19">
            <v>6.9802442392341402E-2</v>
          </cell>
          <cell r="Z19">
            <v>8.6778401204018293E-2</v>
          </cell>
        </row>
        <row r="20">
          <cell r="A20">
            <v>19</v>
          </cell>
          <cell r="B20">
            <v>0</v>
          </cell>
          <cell r="C20">
            <v>1.39604910175571E-2</v>
          </cell>
          <cell r="D20">
            <v>2.04449792156579E-2</v>
          </cell>
          <cell r="E20">
            <v>2.49686557658143E-2</v>
          </cell>
          <cell r="F20">
            <v>2.9270592007416298E-2</v>
          </cell>
          <cell r="G20">
            <v>1.20384512506763E-2</v>
          </cell>
          <cell r="H20">
            <v>0</v>
          </cell>
          <cell r="I20">
            <v>1.2727196688445699E-2</v>
          </cell>
          <cell r="J20">
            <v>1.7538395053230699E-2</v>
          </cell>
          <cell r="K20">
            <v>3.9665812523578897E-2</v>
          </cell>
          <cell r="L20">
            <v>4.89623511965699E-2</v>
          </cell>
          <cell r="M20">
            <v>2.2478542595485498E-2</v>
          </cell>
          <cell r="N20">
            <v>0</v>
          </cell>
          <cell r="O20">
            <v>1.34956640839075E-2</v>
          </cell>
          <cell r="P20">
            <v>0</v>
          </cell>
          <cell r="Q20">
            <v>4.43964176524453E-2</v>
          </cell>
          <cell r="R20">
            <v>8.2600225312549194E-2</v>
          </cell>
          <cell r="S20">
            <v>7.07778510619574E-2</v>
          </cell>
          <cell r="T20">
            <v>3.0466857011916398E-2</v>
          </cell>
          <cell r="U20">
            <v>0</v>
          </cell>
          <cell r="V20">
            <v>9.1188850426795601E-2</v>
          </cell>
          <cell r="W20">
            <v>9.4416064976444905E-2</v>
          </cell>
          <cell r="X20">
            <v>0.146667055837607</v>
          </cell>
          <cell r="Y20">
            <v>8.7347820366825493E-2</v>
          </cell>
          <cell r="Z20">
            <v>9.6587725955116902E-2</v>
          </cell>
        </row>
        <row r="21">
          <cell r="A21">
            <v>20</v>
          </cell>
          <cell r="B21">
            <v>0</v>
          </cell>
          <cell r="C21">
            <v>1.2264229451373201E-2</v>
          </cell>
          <cell r="D21">
            <v>3.04630202510302E-2</v>
          </cell>
          <cell r="E21">
            <v>2.2164331122616902E-2</v>
          </cell>
          <cell r="F21">
            <v>4.9659226454302798E-2</v>
          </cell>
          <cell r="G21">
            <v>4.8840549820718497E-2</v>
          </cell>
          <cell r="H21">
            <v>2.70131127360821E-2</v>
          </cell>
          <cell r="I21">
            <v>8.8030653337240906E-3</v>
          </cell>
          <cell r="J21">
            <v>0</v>
          </cell>
          <cell r="K21">
            <v>5.0904849947475801E-2</v>
          </cell>
          <cell r="L21">
            <v>5.8144373166028003E-2</v>
          </cell>
          <cell r="M21">
            <v>3.1680180620230702E-2</v>
          </cell>
          <cell r="N21">
            <v>4.6763143792244899E-4</v>
          </cell>
          <cell r="O21">
            <v>1.0643278662426099E-2</v>
          </cell>
          <cell r="P21">
            <v>4.6763143792244899E-4</v>
          </cell>
          <cell r="Q21">
            <v>2.6195963784292901E-2</v>
          </cell>
          <cell r="R21">
            <v>3.79611237144859E-2</v>
          </cell>
          <cell r="S21">
            <v>4.6987793420435298E-2</v>
          </cell>
          <cell r="T21">
            <v>8.7521694086544699E-2</v>
          </cell>
          <cell r="U21">
            <v>0</v>
          </cell>
          <cell r="V21">
            <v>0.11290670005053401</v>
          </cell>
          <cell r="W21">
            <v>5.0170356621234202E-2</v>
          </cell>
          <cell r="X21">
            <v>7.7097919176788501E-2</v>
          </cell>
          <cell r="Y21">
            <v>8.0129724305698702E-2</v>
          </cell>
          <cell r="Z21">
            <v>0.129513244398131</v>
          </cell>
        </row>
        <row r="22">
          <cell r="A22">
            <v>21</v>
          </cell>
          <cell r="B22">
            <v>0</v>
          </cell>
          <cell r="C22">
            <v>4.4442027778345298E-3</v>
          </cell>
          <cell r="D22">
            <v>6.3934594856126195E-2</v>
          </cell>
          <cell r="E22">
            <v>1.22025090766399E-2</v>
          </cell>
          <cell r="F22">
            <v>3.6290628419000402E-2</v>
          </cell>
          <cell r="G22">
            <v>9.9263790379921796E-3</v>
          </cell>
          <cell r="H22">
            <v>1.06138589720633E-2</v>
          </cell>
          <cell r="I22">
            <v>6.3085375310361598E-3</v>
          </cell>
          <cell r="J22">
            <v>0</v>
          </cell>
          <cell r="K22">
            <v>4.2595356237555601E-2</v>
          </cell>
          <cell r="L22">
            <v>7.3139206547718202E-2</v>
          </cell>
          <cell r="M22">
            <v>3.3950079605673901E-2</v>
          </cell>
          <cell r="N22">
            <v>5.8046164710494699E-4</v>
          </cell>
          <cell r="O22">
            <v>8.0111326725444704E-3</v>
          </cell>
          <cell r="P22">
            <v>5.8046164710494699E-4</v>
          </cell>
          <cell r="Q22">
            <v>2.4614898677233099E-2</v>
          </cell>
          <cell r="R22">
            <v>7.2815727324331503E-2</v>
          </cell>
          <cell r="S22">
            <v>5.23354057014771E-2</v>
          </cell>
          <cell r="T22">
            <v>3.6136854569767403E-2</v>
          </cell>
          <cell r="U22">
            <v>0</v>
          </cell>
          <cell r="V22">
            <v>0.119707400227959</v>
          </cell>
          <cell r="W22">
            <v>0.113243703497697</v>
          </cell>
          <cell r="X22">
            <v>0.102412690914216</v>
          </cell>
          <cell r="Y22">
            <v>8.1217875032425793E-2</v>
          </cell>
          <cell r="Z22">
            <v>9.4938035026496503E-2</v>
          </cell>
        </row>
        <row r="23">
          <cell r="A23">
            <v>22</v>
          </cell>
          <cell r="B23">
            <v>0</v>
          </cell>
          <cell r="C23">
            <v>2.0631498319124999E-2</v>
          </cell>
          <cell r="D23">
            <v>4.3826153562461799E-2</v>
          </cell>
          <cell r="E23">
            <v>5.2991531794777197E-2</v>
          </cell>
          <cell r="F23">
            <v>4.6685768592462297E-2</v>
          </cell>
          <cell r="G23">
            <v>8.1086256542645899E-3</v>
          </cell>
          <cell r="H23">
            <v>0</v>
          </cell>
          <cell r="I23">
            <v>9.2448119831486895E-3</v>
          </cell>
          <cell r="J23">
            <v>0</v>
          </cell>
          <cell r="K23">
            <v>1.08831330940864E-2</v>
          </cell>
          <cell r="L23">
            <v>6.3518631469949904E-2</v>
          </cell>
          <cell r="M23">
            <v>1.45363764025021E-2</v>
          </cell>
          <cell r="N23">
            <v>0</v>
          </cell>
          <cell r="O23">
            <v>1.86867898835444E-2</v>
          </cell>
          <cell r="P23">
            <v>0</v>
          </cell>
          <cell r="Q23">
            <v>7.8136569313039902E-2</v>
          </cell>
          <cell r="R23">
            <v>4.8229052894367297E-2</v>
          </cell>
          <cell r="S23">
            <v>4.4089277862097299E-2</v>
          </cell>
          <cell r="T23">
            <v>4.2084284883473502E-2</v>
          </cell>
          <cell r="U23">
            <v>0</v>
          </cell>
          <cell r="V23">
            <v>9.9136157959687304E-2</v>
          </cell>
          <cell r="W23">
            <v>0.14097221237180599</v>
          </cell>
          <cell r="X23">
            <v>7.9243677215279598E-2</v>
          </cell>
          <cell r="Y23">
            <v>8.7994155945474398E-2</v>
          </cell>
          <cell r="Z23">
            <v>9.1001290798450998E-2</v>
          </cell>
        </row>
        <row r="24">
          <cell r="A24">
            <v>23</v>
          </cell>
          <cell r="B24">
            <v>0</v>
          </cell>
          <cell r="C24">
            <v>2.9855546919722999E-2</v>
          </cell>
          <cell r="D24">
            <v>2.1929720063800701E-2</v>
          </cell>
          <cell r="E24">
            <v>2.1483153794589802E-2</v>
          </cell>
          <cell r="F24">
            <v>5.8317304813192299E-2</v>
          </cell>
          <cell r="G24">
            <v>2.8248938640442301E-2</v>
          </cell>
          <cell r="H24">
            <v>0</v>
          </cell>
          <cell r="I24">
            <v>1.94901868108729E-2</v>
          </cell>
          <cell r="J24">
            <v>0</v>
          </cell>
          <cell r="K24">
            <v>2.5996467393579099E-2</v>
          </cell>
          <cell r="L24">
            <v>4.1007146992100903E-2</v>
          </cell>
          <cell r="M24">
            <v>2.6700928098001099E-2</v>
          </cell>
          <cell r="N24">
            <v>0</v>
          </cell>
          <cell r="O24">
            <v>1.7397088529589599E-2</v>
          </cell>
          <cell r="P24">
            <v>0</v>
          </cell>
          <cell r="Q24">
            <v>5.1067605690033401E-2</v>
          </cell>
          <cell r="R24">
            <v>4.7362103748902901E-2</v>
          </cell>
          <cell r="S24">
            <v>3.8243072427446602E-2</v>
          </cell>
          <cell r="T24">
            <v>3.8482292858610101E-2</v>
          </cell>
          <cell r="U24">
            <v>0</v>
          </cell>
          <cell r="V24">
            <v>0.116391847573763</v>
          </cell>
          <cell r="W24">
            <v>0.132313045852407</v>
          </cell>
          <cell r="X24">
            <v>9.3500094335916994E-2</v>
          </cell>
          <cell r="Y24">
            <v>8.8788449935317093E-2</v>
          </cell>
          <cell r="Z24">
            <v>0.103425005521709</v>
          </cell>
        </row>
        <row r="25">
          <cell r="A25">
            <v>24</v>
          </cell>
          <cell r="B25">
            <v>0</v>
          </cell>
          <cell r="C25">
            <v>1.5122388139513099E-2</v>
          </cell>
          <cell r="D25">
            <v>0</v>
          </cell>
          <cell r="E25">
            <v>2.17911046348408E-2</v>
          </cell>
          <cell r="F25">
            <v>7.7380318971164194E-2</v>
          </cell>
          <cell r="G25">
            <v>1.5825568493242199E-2</v>
          </cell>
          <cell r="H25">
            <v>0</v>
          </cell>
          <cell r="I25">
            <v>3.19238533213908E-3</v>
          </cell>
          <cell r="J25">
            <v>0</v>
          </cell>
          <cell r="K25">
            <v>3.8341242998275397E-2</v>
          </cell>
          <cell r="L25">
            <v>5.96088392176784E-2</v>
          </cell>
          <cell r="M25">
            <v>9.7402510594494802E-3</v>
          </cell>
          <cell r="N25">
            <v>0</v>
          </cell>
          <cell r="O25">
            <v>0</v>
          </cell>
          <cell r="P25">
            <v>0</v>
          </cell>
          <cell r="Q25">
            <v>7.8679732096306298E-2</v>
          </cell>
          <cell r="R25">
            <v>3.3369249896394497E-2</v>
          </cell>
          <cell r="S25">
            <v>0.143434888975041</v>
          </cell>
          <cell r="T25">
            <v>1.24920123524457E-2</v>
          </cell>
          <cell r="U25">
            <v>0</v>
          </cell>
          <cell r="V25">
            <v>0.113874042484927</v>
          </cell>
          <cell r="W25">
            <v>0.13081347004799199</v>
          </cell>
          <cell r="X25">
            <v>7.2336136251219804E-2</v>
          </cell>
          <cell r="Y25">
            <v>7.8643904656230307E-2</v>
          </cell>
          <cell r="Z25">
            <v>9.5354464393139299E-2</v>
          </cell>
        </row>
        <row r="26">
          <cell r="A26">
            <v>25</v>
          </cell>
          <cell r="B26">
            <v>0</v>
          </cell>
          <cell r="C26">
            <v>1.7673424780121499E-2</v>
          </cell>
          <cell r="D26">
            <v>0</v>
          </cell>
          <cell r="E26">
            <v>1.40813139050282E-2</v>
          </cell>
          <cell r="F26">
            <v>5.4030611603983598E-2</v>
          </cell>
          <cell r="G26">
            <v>1.7587285901518101E-2</v>
          </cell>
          <cell r="H26">
            <v>0</v>
          </cell>
          <cell r="I26">
            <v>3.16530469534652E-2</v>
          </cell>
          <cell r="J26">
            <v>0</v>
          </cell>
          <cell r="K26">
            <v>2.2967376694288898E-2</v>
          </cell>
          <cell r="L26">
            <v>9.7671917349745896E-2</v>
          </cell>
          <cell r="M26">
            <v>3.9414518827625901E-2</v>
          </cell>
          <cell r="N26">
            <v>0</v>
          </cell>
          <cell r="O26">
            <v>2.0371844789704399E-2</v>
          </cell>
          <cell r="P26">
            <v>0</v>
          </cell>
          <cell r="Q26">
            <v>3.1937185615524999E-2</v>
          </cell>
          <cell r="R26">
            <v>2.6191004588689799E-2</v>
          </cell>
          <cell r="S26">
            <v>7.7242048454315496E-2</v>
          </cell>
          <cell r="T26">
            <v>3.2512042992871401E-2</v>
          </cell>
          <cell r="U26">
            <v>0</v>
          </cell>
          <cell r="V26">
            <v>0.118255520216017</v>
          </cell>
          <cell r="W26">
            <v>0.100071842217501</v>
          </cell>
          <cell r="X26">
            <v>0.100037147391397</v>
          </cell>
          <cell r="Y26">
            <v>9.0855580393594801E-2</v>
          </cell>
          <cell r="Z26">
            <v>0.107446287324604</v>
          </cell>
        </row>
        <row r="27">
          <cell r="A27">
            <v>26</v>
          </cell>
          <cell r="B27">
            <v>0</v>
          </cell>
          <cell r="C27">
            <v>2.19690773085011E-2</v>
          </cell>
          <cell r="D27">
            <v>0</v>
          </cell>
          <cell r="E27">
            <v>8.35455018357412E-3</v>
          </cell>
          <cell r="F27">
            <v>6.4591683821815599E-2</v>
          </cell>
          <cell r="G27">
            <v>2.66725273322953E-2</v>
          </cell>
          <cell r="H27">
            <v>0</v>
          </cell>
          <cell r="I27">
            <v>4.3356814397386796E-3</v>
          </cell>
          <cell r="J27">
            <v>0</v>
          </cell>
          <cell r="K27">
            <v>2.91250563837979E-2</v>
          </cell>
          <cell r="L27">
            <v>5.59384878242013E-2</v>
          </cell>
          <cell r="M27">
            <v>2.2506551154837601E-2</v>
          </cell>
          <cell r="N27">
            <v>0</v>
          </cell>
          <cell r="O27">
            <v>2.9275708574856799E-2</v>
          </cell>
          <cell r="P27">
            <v>0</v>
          </cell>
          <cell r="Q27">
            <v>4.0463406139697101E-2</v>
          </cell>
          <cell r="R27">
            <v>2.8003140655088798E-2</v>
          </cell>
          <cell r="S27">
            <v>8.2063793227209206E-2</v>
          </cell>
          <cell r="T27">
            <v>2.0939325273145699E-2</v>
          </cell>
          <cell r="U27">
            <v>0</v>
          </cell>
          <cell r="V27">
            <v>0.11014624782994301</v>
          </cell>
          <cell r="W27">
            <v>0.12848150567116801</v>
          </cell>
          <cell r="X27">
            <v>0.10866542541077</v>
          </cell>
          <cell r="Y27">
            <v>0.109499772692429</v>
          </cell>
          <cell r="Z27">
            <v>0.108968059076927</v>
          </cell>
        </row>
        <row r="28">
          <cell r="A28">
            <v>27</v>
          </cell>
          <cell r="B28">
            <v>0</v>
          </cell>
          <cell r="C28">
            <v>0</v>
          </cell>
          <cell r="D28">
            <v>2.5507284291764E-2</v>
          </cell>
          <cell r="E28">
            <v>2.1828349057375001E-2</v>
          </cell>
          <cell r="F28">
            <v>0</v>
          </cell>
          <cell r="G28">
            <v>2.16064450273642E-2</v>
          </cell>
          <cell r="H28">
            <v>0</v>
          </cell>
          <cell r="I28">
            <v>0</v>
          </cell>
          <cell r="J28">
            <v>0</v>
          </cell>
          <cell r="K28">
            <v>6.0322858684506202E-2</v>
          </cell>
          <cell r="L28">
            <v>9.0279902735959899E-2</v>
          </cell>
          <cell r="M28">
            <v>0</v>
          </cell>
          <cell r="N28">
            <v>0</v>
          </cell>
          <cell r="O28">
            <v>0</v>
          </cell>
          <cell r="P28">
            <v>0</v>
          </cell>
          <cell r="Q28">
            <v>5.9038151142338499E-2</v>
          </cell>
          <cell r="R28">
            <v>6.4055518052476806E-2</v>
          </cell>
          <cell r="S28">
            <v>8.3564386038265603E-2</v>
          </cell>
          <cell r="T28">
            <v>2.0679119765108701E-2</v>
          </cell>
          <cell r="U28">
            <v>0</v>
          </cell>
          <cell r="V28">
            <v>7.6732077745828797E-2</v>
          </cell>
          <cell r="W28">
            <v>0.151712281570519</v>
          </cell>
          <cell r="X28">
            <v>0.15381920193967399</v>
          </cell>
          <cell r="Y28">
            <v>8.2384790931366206E-2</v>
          </cell>
          <cell r="Z28">
            <v>8.8469633017451005E-2</v>
          </cell>
        </row>
        <row r="29">
          <cell r="A29">
            <v>28</v>
          </cell>
          <cell r="B29">
            <v>0</v>
          </cell>
          <cell r="C29">
            <v>0</v>
          </cell>
          <cell r="D29">
            <v>0</v>
          </cell>
          <cell r="E29">
            <v>3.6327261851874397E-2</v>
          </cell>
          <cell r="F29">
            <v>7.7847658371007794E-2</v>
          </cell>
          <cell r="G29">
            <v>0</v>
          </cell>
          <cell r="H29">
            <v>0</v>
          </cell>
          <cell r="I29">
            <v>0.142161517086385</v>
          </cell>
          <cell r="J29">
            <v>0</v>
          </cell>
          <cell r="K29">
            <v>5.7615194092863697E-2</v>
          </cell>
          <cell r="L29">
            <v>4.45169383008562E-2</v>
          </cell>
          <cell r="M29">
            <v>1.66958481055293E-2</v>
          </cell>
          <cell r="N29">
            <v>0</v>
          </cell>
          <cell r="O29">
            <v>0</v>
          </cell>
          <cell r="P29">
            <v>0</v>
          </cell>
          <cell r="Q29">
            <v>2.6694483401423299E-2</v>
          </cell>
          <cell r="R29">
            <v>2.6257487724922101E-2</v>
          </cell>
          <cell r="S29">
            <v>7.8123502817968704E-2</v>
          </cell>
          <cell r="T29">
            <v>2.7421841653672899E-2</v>
          </cell>
          <cell r="U29">
            <v>0</v>
          </cell>
          <cell r="V29">
            <v>9.5841427190132195E-2</v>
          </cell>
          <cell r="W29">
            <v>8.2692357947368803E-2</v>
          </cell>
          <cell r="X29">
            <v>5.0730697421870599E-2</v>
          </cell>
          <cell r="Y29">
            <v>0.100552559981649</v>
          </cell>
          <cell r="Z29">
            <v>0.13652122405247399</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2</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2</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1</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0</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0</v>
          </cell>
          <cell r="M8">
            <v>0</v>
          </cell>
          <cell r="N8">
            <v>0</v>
          </cell>
          <cell r="O8">
            <v>0</v>
          </cell>
          <cell r="P8">
            <v>0</v>
          </cell>
          <cell r="Q8">
            <v>0</v>
          </cell>
          <cell r="R8">
            <v>0</v>
          </cell>
          <cell r="S8">
            <v>0</v>
          </cell>
          <cell r="T8">
            <v>0</v>
          </cell>
          <cell r="U8">
            <v>0</v>
          </cell>
          <cell r="V8">
            <v>3</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0</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2</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2</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1</v>
          </cell>
          <cell r="T15">
            <v>0</v>
          </cell>
          <cell r="U15">
            <v>0</v>
          </cell>
          <cell r="V15">
            <v>2</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0</v>
          </cell>
          <cell r="T16">
            <v>0</v>
          </cell>
          <cell r="U16">
            <v>0</v>
          </cell>
          <cell r="V16">
            <v>2</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v>
          </cell>
          <cell r="W19">
            <v>2</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0</v>
          </cell>
          <cell r="T20">
            <v>0</v>
          </cell>
          <cell r="U20">
            <v>0</v>
          </cell>
          <cell r="V20">
            <v>1</v>
          </cell>
          <cell r="W20">
            <v>1</v>
          </cell>
          <cell r="X20">
            <v>2</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2</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0</v>
          </cell>
          <cell r="T24">
            <v>0</v>
          </cell>
          <cell r="U24">
            <v>0</v>
          </cell>
          <cell r="V24">
            <v>2</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0</v>
          </cell>
          <cell r="T26">
            <v>0</v>
          </cell>
          <cell r="U26">
            <v>0</v>
          </cell>
          <cell r="V26">
            <v>1</v>
          </cell>
          <cell r="W26">
            <v>1</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0</v>
          </cell>
          <cell r="T29">
            <v>0</v>
          </cell>
          <cell r="U29">
            <v>0</v>
          </cell>
          <cell r="V29">
            <v>1</v>
          </cell>
          <cell r="W29">
            <v>1</v>
          </cell>
          <cell r="X29">
            <v>0</v>
          </cell>
          <cell r="Y29">
            <v>0</v>
          </cell>
          <cell r="Z29">
            <v>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1</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0</v>
          </cell>
          <cell r="L4">
            <v>1</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1</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1</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0</v>
          </cell>
          <cell r="F12">
            <v>1</v>
          </cell>
          <cell r="G12">
            <v>0</v>
          </cell>
          <cell r="H12">
            <v>0</v>
          </cell>
          <cell r="I12">
            <v>0</v>
          </cell>
          <cell r="J12">
            <v>0</v>
          </cell>
          <cell r="K12">
            <v>0</v>
          </cell>
          <cell r="L12">
            <v>1</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2</v>
          </cell>
          <cell r="W15">
            <v>0</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1</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0</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1</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0</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1</v>
          </cell>
          <cell r="M4">
            <v>0</v>
          </cell>
          <cell r="N4">
            <v>0</v>
          </cell>
          <cell r="O4">
            <v>0</v>
          </cell>
          <cell r="P4">
            <v>0</v>
          </cell>
          <cell r="Q4">
            <v>0</v>
          </cell>
          <cell r="R4">
            <v>0</v>
          </cell>
          <cell r="S4">
            <v>0</v>
          </cell>
          <cell r="T4">
            <v>0</v>
          </cell>
          <cell r="U4">
            <v>0</v>
          </cell>
          <cell r="V4">
            <v>1</v>
          </cell>
          <cell r="W4">
            <v>0</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0</v>
          </cell>
          <cell r="L7">
            <v>1</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1</v>
          </cell>
          <cell r="L13">
            <v>0</v>
          </cell>
          <cell r="M13">
            <v>0</v>
          </cell>
          <cell r="N13">
            <v>0</v>
          </cell>
          <cell r="O13">
            <v>0</v>
          </cell>
          <cell r="P13">
            <v>0</v>
          </cell>
          <cell r="Q13">
            <v>0</v>
          </cell>
          <cell r="R13">
            <v>0</v>
          </cell>
          <cell r="S13">
            <v>1</v>
          </cell>
          <cell r="T13">
            <v>0</v>
          </cell>
          <cell r="U13">
            <v>0</v>
          </cell>
          <cell r="V13">
            <v>1</v>
          </cell>
          <cell r="W13">
            <v>2</v>
          </cell>
          <cell r="X13">
            <v>1</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0</v>
          </cell>
          <cell r="X15">
            <v>2</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1</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1</v>
          </cell>
          <cell r="W20">
            <v>1</v>
          </cell>
          <cell r="X20">
            <v>2</v>
          </cell>
          <cell r="Y20">
            <v>0</v>
          </cell>
          <cell r="Z20">
            <v>0</v>
          </cell>
        </row>
        <row r="21">
          <cell r="A21">
            <v>20</v>
          </cell>
          <cell r="B21">
            <v>0</v>
          </cell>
          <cell r="C21">
            <v>0</v>
          </cell>
          <cell r="D21">
            <v>0</v>
          </cell>
          <cell r="E21">
            <v>0</v>
          </cell>
          <cell r="F21">
            <v>0</v>
          </cell>
          <cell r="G21">
            <v>1</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1</v>
          </cell>
          <cell r="L22">
            <v>1</v>
          </cell>
          <cell r="M22">
            <v>0</v>
          </cell>
          <cell r="N22">
            <v>0</v>
          </cell>
          <cell r="O22">
            <v>0</v>
          </cell>
          <cell r="P22">
            <v>0</v>
          </cell>
          <cell r="Q22">
            <v>0</v>
          </cell>
          <cell r="R22">
            <v>0</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1</v>
          </cell>
          <cell r="M24">
            <v>0</v>
          </cell>
          <cell r="N24">
            <v>0</v>
          </cell>
          <cell r="O24">
            <v>0</v>
          </cell>
          <cell r="P24">
            <v>0</v>
          </cell>
          <cell r="Q24">
            <v>1</v>
          </cell>
          <cell r="R24">
            <v>0</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1</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0</v>
          </cell>
          <cell r="X29">
            <v>0</v>
          </cell>
          <cell r="Y29">
            <v>0</v>
          </cell>
          <cell r="Z29">
            <v>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0</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1</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1</v>
          </cell>
          <cell r="M2">
            <v>0</v>
          </cell>
          <cell r="N2">
            <v>0</v>
          </cell>
          <cell r="O2">
            <v>0</v>
          </cell>
          <cell r="P2">
            <v>0</v>
          </cell>
          <cell r="Q2">
            <v>0</v>
          </cell>
          <cell r="R2">
            <v>0</v>
          </cell>
          <cell r="S2">
            <v>0</v>
          </cell>
          <cell r="T2">
            <v>0</v>
          </cell>
          <cell r="U2">
            <v>0</v>
          </cell>
          <cell r="V2">
            <v>1</v>
          </cell>
          <cell r="W2">
            <v>0</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0</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1</v>
          </cell>
          <cell r="S3">
            <v>0</v>
          </cell>
          <cell r="T3">
            <v>0</v>
          </cell>
          <cell r="U3">
            <v>0</v>
          </cell>
          <cell r="V3">
            <v>0</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1</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2</v>
          </cell>
          <cell r="L11">
            <v>0</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0</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1</v>
          </cell>
          <cell r="S3">
            <v>0</v>
          </cell>
          <cell r="T3">
            <v>0</v>
          </cell>
          <cell r="U3">
            <v>0</v>
          </cell>
          <cell r="V3">
            <v>0</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2</v>
          </cell>
          <cell r="L11">
            <v>0</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1</v>
          </cell>
          <cell r="X26">
            <v>0</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ECAB-FB20-46F5-B407-265A1B6AF463}">
  <dimension ref="B2:AI27"/>
  <sheetViews>
    <sheetView topLeftCell="AE1" workbookViewId="0">
      <selection activeCell="AE8" sqref="AE8"/>
    </sheetView>
  </sheetViews>
  <sheetFormatPr baseColWidth="10" defaultRowHeight="14.4" x14ac:dyDescent="0.3"/>
  <cols>
    <col min="2" max="2" width="14.77734375" customWidth="1"/>
    <col min="3" max="3" width="49.6640625" customWidth="1"/>
    <col min="6" max="6" width="14.77734375" customWidth="1"/>
    <col min="7" max="7" width="49.6640625" customWidth="1"/>
    <col min="10" max="10" width="14.77734375" customWidth="1"/>
    <col min="11" max="11" width="49.6640625" customWidth="1"/>
    <col min="14" max="14" width="14.77734375" customWidth="1"/>
    <col min="15" max="15" width="49.6640625" customWidth="1"/>
    <col min="18" max="18" width="14.77734375" customWidth="1"/>
    <col min="19" max="19" width="49.6640625" customWidth="1"/>
    <col min="22" max="22" width="14.77734375" customWidth="1"/>
    <col min="23" max="23" width="49.6640625" customWidth="1"/>
    <col min="26" max="26" width="14.77734375" customWidth="1"/>
    <col min="27" max="27" width="49.6640625" customWidth="1"/>
    <col min="30" max="30" width="14.77734375" customWidth="1"/>
    <col min="31" max="31" width="49.6640625" customWidth="1"/>
    <col min="34" max="34" width="14.77734375" customWidth="1"/>
    <col min="35" max="35" width="49.6640625" customWidth="1"/>
  </cols>
  <sheetData>
    <row r="2" spans="2:35" x14ac:dyDescent="0.3">
      <c r="B2" s="2" t="s">
        <v>6</v>
      </c>
      <c r="C2" s="2" t="s">
        <v>7</v>
      </c>
      <c r="F2" s="2" t="s">
        <v>6</v>
      </c>
      <c r="G2" s="2" t="s">
        <v>7</v>
      </c>
      <c r="J2" s="2" t="s">
        <v>6</v>
      </c>
      <c r="K2" s="2" t="s">
        <v>7</v>
      </c>
      <c r="N2" s="2" t="s">
        <v>6</v>
      </c>
      <c r="O2" s="2" t="s">
        <v>7</v>
      </c>
      <c r="R2" s="2" t="s">
        <v>6</v>
      </c>
      <c r="S2" s="2" t="s">
        <v>7</v>
      </c>
      <c r="V2" s="2" t="s">
        <v>6</v>
      </c>
      <c r="W2" s="2" t="s">
        <v>7</v>
      </c>
      <c r="Z2" s="2" t="s">
        <v>6</v>
      </c>
      <c r="AA2" s="2" t="s">
        <v>7</v>
      </c>
      <c r="AD2" s="2" t="s">
        <v>6</v>
      </c>
      <c r="AE2" s="2" t="s">
        <v>7</v>
      </c>
      <c r="AH2" s="2" t="s">
        <v>6</v>
      </c>
      <c r="AI2" s="2" t="s">
        <v>7</v>
      </c>
    </row>
    <row r="3" spans="2:35" ht="76.95" customHeight="1" x14ac:dyDescent="0.3">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c r="AD3" s="31" t="s">
        <v>77</v>
      </c>
      <c r="AE3" s="31" t="s">
        <v>36</v>
      </c>
      <c r="AH3" s="31" t="s">
        <v>78</v>
      </c>
      <c r="AI3" s="31" t="s">
        <v>36</v>
      </c>
    </row>
    <row r="4" spans="2:35" x14ac:dyDescent="0.3">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c r="AD4" s="33" t="s">
        <v>40</v>
      </c>
      <c r="AE4" s="33" t="s">
        <v>41</v>
      </c>
      <c r="AH4" s="33" t="s">
        <v>40</v>
      </c>
      <c r="AI4" s="33" t="s">
        <v>41</v>
      </c>
    </row>
    <row r="5" spans="2:35" x14ac:dyDescent="0.3">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c r="AD5" s="11" t="s">
        <v>11</v>
      </c>
      <c r="AE5" s="12" t="s">
        <v>42</v>
      </c>
      <c r="AH5" s="11" t="s">
        <v>11</v>
      </c>
      <c r="AI5" s="12" t="s">
        <v>42</v>
      </c>
    </row>
    <row r="6" spans="2:35" x14ac:dyDescent="0.3">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c r="AD6" s="11" t="s">
        <v>38</v>
      </c>
      <c r="AE6" s="12" t="s">
        <v>42</v>
      </c>
      <c r="AH6" s="11" t="s">
        <v>38</v>
      </c>
      <c r="AI6" s="12" t="s">
        <v>42</v>
      </c>
    </row>
    <row r="7" spans="2:35" x14ac:dyDescent="0.3">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c r="AD7" s="11" t="s">
        <v>14</v>
      </c>
      <c r="AE7" s="12" t="s">
        <v>42</v>
      </c>
      <c r="AH7" s="11" t="s">
        <v>14</v>
      </c>
      <c r="AI7" s="12" t="s">
        <v>42</v>
      </c>
    </row>
    <row r="8" spans="2:35" x14ac:dyDescent="0.3">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c r="AD8" s="11" t="s">
        <v>17</v>
      </c>
      <c r="AE8" s="12" t="s">
        <v>42</v>
      </c>
      <c r="AH8" s="11" t="s">
        <v>17</v>
      </c>
      <c r="AI8" s="12" t="s">
        <v>42</v>
      </c>
    </row>
    <row r="9" spans="2:35" x14ac:dyDescent="0.3">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c r="AD9" s="11" t="s">
        <v>22</v>
      </c>
      <c r="AE9" s="12" t="s">
        <v>42</v>
      </c>
      <c r="AH9" s="11" t="s">
        <v>22</v>
      </c>
      <c r="AI9" s="12" t="s">
        <v>42</v>
      </c>
    </row>
    <row r="10" spans="2:35" x14ac:dyDescent="0.3">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c r="AD10" s="11" t="s">
        <v>21</v>
      </c>
      <c r="AE10" s="12" t="s">
        <v>42</v>
      </c>
      <c r="AH10" s="11" t="s">
        <v>21</v>
      </c>
      <c r="AI10" s="12" t="s">
        <v>42</v>
      </c>
    </row>
    <row r="11" spans="2:35" x14ac:dyDescent="0.3">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c r="AD11" s="11" t="s">
        <v>12</v>
      </c>
      <c r="AE11" s="12" t="s">
        <v>42</v>
      </c>
      <c r="AH11" s="11" t="s">
        <v>12</v>
      </c>
      <c r="AI11" s="12" t="s">
        <v>42</v>
      </c>
    </row>
    <row r="12" spans="2:35" x14ac:dyDescent="0.3">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c r="AD12" s="11" t="s">
        <v>16</v>
      </c>
      <c r="AE12" s="12" t="s">
        <v>42</v>
      </c>
      <c r="AH12" s="11" t="s">
        <v>16</v>
      </c>
      <c r="AI12" s="12" t="s">
        <v>42</v>
      </c>
    </row>
    <row r="13" spans="2:35" x14ac:dyDescent="0.3">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c r="AD13" s="11" t="s">
        <v>20</v>
      </c>
      <c r="AE13" s="12" t="s">
        <v>42</v>
      </c>
      <c r="AH13" s="11" t="s">
        <v>20</v>
      </c>
      <c r="AI13" s="12" t="s">
        <v>42</v>
      </c>
    </row>
    <row r="14" spans="2:35" x14ac:dyDescent="0.3">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c r="AD14" s="34" t="s">
        <v>25</v>
      </c>
      <c r="AE14" s="20" t="s">
        <v>43</v>
      </c>
      <c r="AH14" s="34" t="s">
        <v>25</v>
      </c>
      <c r="AI14" s="20" t="s">
        <v>43</v>
      </c>
    </row>
    <row r="15" spans="2:35" x14ac:dyDescent="0.3">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c r="AD15" s="14" t="s">
        <v>23</v>
      </c>
      <c r="AE15" s="12" t="s">
        <v>44</v>
      </c>
      <c r="AH15" s="14" t="s">
        <v>23</v>
      </c>
      <c r="AI15" s="12" t="s">
        <v>44</v>
      </c>
    </row>
    <row r="16" spans="2:35" x14ac:dyDescent="0.3">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c r="AD16" s="14" t="s">
        <v>15</v>
      </c>
      <c r="AE16" s="12" t="s">
        <v>44</v>
      </c>
      <c r="AH16" s="14" t="s">
        <v>15</v>
      </c>
      <c r="AI16" s="12" t="s">
        <v>44</v>
      </c>
    </row>
    <row r="17" spans="2:35" x14ac:dyDescent="0.3">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c r="AD17" s="14" t="s">
        <v>26</v>
      </c>
      <c r="AE17" s="12" t="s">
        <v>44</v>
      </c>
      <c r="AH17" s="14" t="s">
        <v>26</v>
      </c>
      <c r="AI17" s="12" t="s">
        <v>44</v>
      </c>
    </row>
    <row r="18" spans="2:35" x14ac:dyDescent="0.3">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c r="AD18" s="14" t="s">
        <v>24</v>
      </c>
      <c r="AE18" s="12" t="s">
        <v>44</v>
      </c>
      <c r="AH18" s="15" t="s">
        <v>13</v>
      </c>
      <c r="AI18" s="12" t="s">
        <v>46</v>
      </c>
    </row>
    <row r="19" spans="2:35" x14ac:dyDescent="0.3">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c r="AD19" s="14" t="s">
        <v>27</v>
      </c>
      <c r="AE19" s="12" t="s">
        <v>44</v>
      </c>
      <c r="AH19" s="15" t="s">
        <v>19</v>
      </c>
      <c r="AI19" s="12" t="s">
        <v>46</v>
      </c>
    </row>
    <row r="20" spans="2:35" x14ac:dyDescent="0.3">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c r="AD20" s="15" t="s">
        <v>13</v>
      </c>
      <c r="AE20" s="12" t="s">
        <v>46</v>
      </c>
      <c r="AH20" s="16" t="s">
        <v>49</v>
      </c>
      <c r="AI20" s="12" t="s">
        <v>47</v>
      </c>
    </row>
    <row r="21" spans="2:35" x14ac:dyDescent="0.3">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c r="AD21" s="15" t="s">
        <v>19</v>
      </c>
      <c r="AE21" s="12" t="s">
        <v>46</v>
      </c>
      <c r="AH21" s="16" t="s">
        <v>39</v>
      </c>
      <c r="AI21" s="12" t="s">
        <v>47</v>
      </c>
    </row>
    <row r="22" spans="2:35" x14ac:dyDescent="0.3">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c r="AD22" s="16" t="s">
        <v>49</v>
      </c>
      <c r="AE22" s="12" t="s">
        <v>47</v>
      </c>
      <c r="AH22" s="16" t="s">
        <v>51</v>
      </c>
      <c r="AI22" s="12" t="s">
        <v>47</v>
      </c>
    </row>
    <row r="23" spans="2:35" x14ac:dyDescent="0.3">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c r="AD23" s="16" t="s">
        <v>39</v>
      </c>
      <c r="AE23" s="12" t="s">
        <v>47</v>
      </c>
      <c r="AH23" s="16" t="s">
        <v>37</v>
      </c>
      <c r="AI23" s="12" t="s">
        <v>47</v>
      </c>
    </row>
    <row r="24" spans="2:35" x14ac:dyDescent="0.3">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c r="AD24" s="16" t="s">
        <v>51</v>
      </c>
      <c r="AE24" s="12" t="s">
        <v>47</v>
      </c>
      <c r="AH24" s="17" t="s">
        <v>24</v>
      </c>
      <c r="AI24" s="12" t="s">
        <v>48</v>
      </c>
    </row>
    <row r="25" spans="2:35" x14ac:dyDescent="0.3">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c r="AD25" s="16" t="s">
        <v>37</v>
      </c>
      <c r="AE25" s="12" t="s">
        <v>47</v>
      </c>
      <c r="AH25" s="17" t="s">
        <v>27</v>
      </c>
      <c r="AI25" s="12" t="s">
        <v>48</v>
      </c>
    </row>
    <row r="26" spans="2:35" x14ac:dyDescent="0.3">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c r="AD26" s="17" t="s">
        <v>45</v>
      </c>
      <c r="AE26" s="12" t="s">
        <v>48</v>
      </c>
      <c r="AH26" s="18" t="s">
        <v>45</v>
      </c>
      <c r="AI26" s="12" t="s">
        <v>50</v>
      </c>
    </row>
    <row r="27" spans="2:35" x14ac:dyDescent="0.3">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c r="AD27" s="18" t="s">
        <v>18</v>
      </c>
      <c r="AE27" s="12" t="s">
        <v>50</v>
      </c>
      <c r="AH27" s="21" t="s">
        <v>18</v>
      </c>
      <c r="AI27" s="12" t="s">
        <v>52</v>
      </c>
    </row>
  </sheetData>
  <conditionalFormatting sqref="B4:C27">
    <cfRule type="cellIs" dxfId="141" priority="155" operator="equal">
      <formula>"p1"</formula>
    </cfRule>
    <cfRule type="cellIs" dxfId="140" priority="149" operator="equal">
      <formula>"p7"</formula>
    </cfRule>
    <cfRule type="cellIs" dxfId="139" priority="151" operator="equal">
      <formula>"p5"</formula>
    </cfRule>
    <cfRule type="cellIs" dxfId="138" priority="150" operator="equal">
      <formula>"p6"</formula>
    </cfRule>
    <cfRule type="cellIs" dxfId="137" priority="152" operator="equal">
      <formula>"p4"</formula>
    </cfRule>
    <cfRule type="cellIs" dxfId="136" priority="153" operator="equal">
      <formula>"p3"</formula>
    </cfRule>
    <cfRule type="cellIs" dxfId="135" priority="154" operator="equal">
      <formula>"p2"</formula>
    </cfRule>
  </conditionalFormatting>
  <conditionalFormatting sqref="F4:G27">
    <cfRule type="cellIs" dxfId="134" priority="111" operator="equal">
      <formula>"p3"</formula>
    </cfRule>
    <cfRule type="cellIs" dxfId="133" priority="110" operator="equal">
      <formula>"p4"</formula>
    </cfRule>
    <cfRule type="cellIs" dxfId="132" priority="109" operator="equal">
      <formula>"p5"</formula>
    </cfRule>
    <cfRule type="cellIs" dxfId="131" priority="108" operator="equal">
      <formula>"p6"</formula>
    </cfRule>
    <cfRule type="cellIs" dxfId="130" priority="107" operator="equal">
      <formula>"p7"</formula>
    </cfRule>
    <cfRule type="cellIs" dxfId="129" priority="112" operator="equal">
      <formula>"p2"</formula>
    </cfRule>
    <cfRule type="cellIs" dxfId="128" priority="113" operator="equal">
      <formula>"p1"</formula>
    </cfRule>
  </conditionalFormatting>
  <conditionalFormatting sqref="F5:G27">
    <cfRule type="cellIs" dxfId="127" priority="106" operator="equal">
      <formula>"p8"</formula>
    </cfRule>
  </conditionalFormatting>
  <conditionalFormatting sqref="J4:K4">
    <cfRule type="cellIs" dxfId="126" priority="142" operator="equal">
      <formula>"p7"</formula>
    </cfRule>
    <cfRule type="cellIs" dxfId="125" priority="143" operator="equal">
      <formula>"p6"</formula>
    </cfRule>
    <cfRule type="cellIs" dxfId="124" priority="148" operator="equal">
      <formula>"p1"</formula>
    </cfRule>
    <cfRule type="cellIs" dxfId="123" priority="147" operator="equal">
      <formula>"p2"</formula>
    </cfRule>
    <cfRule type="cellIs" dxfId="122" priority="146" operator="equal">
      <formula>"p3"</formula>
    </cfRule>
    <cfRule type="cellIs" dxfId="121" priority="145" operator="equal">
      <formula>"p4"</formula>
    </cfRule>
    <cfRule type="cellIs" dxfId="120" priority="144" operator="equal">
      <formula>"p5"</formula>
    </cfRule>
  </conditionalFormatting>
  <conditionalFormatting sqref="J5:K27 AD5:AE27">
    <cfRule type="cellIs" dxfId="119" priority="95" operator="equal">
      <formula>"p11"</formula>
    </cfRule>
    <cfRule type="cellIs" dxfId="118" priority="93" operator="equal">
      <formula>"p13"</formula>
    </cfRule>
    <cfRule type="cellIs" dxfId="117" priority="94" operator="equal">
      <formula>"p12"</formula>
    </cfRule>
    <cfRule type="cellIs" dxfId="116" priority="96" operator="equal">
      <formula>"p10"</formula>
    </cfRule>
    <cfRule type="cellIs" dxfId="115" priority="97" operator="equal">
      <formula>"p9"</formula>
    </cfRule>
  </conditionalFormatting>
  <conditionalFormatting sqref="K5:K27 AE5:AE27">
    <cfRule type="cellIs" dxfId="114" priority="105" operator="equal">
      <formula>"p1"</formula>
    </cfRule>
    <cfRule type="cellIs" dxfId="113" priority="102" operator="equal">
      <formula>"p4"</formula>
    </cfRule>
    <cfRule type="cellIs" dxfId="112" priority="104" operator="equal">
      <formula>"p2"</formula>
    </cfRule>
    <cfRule type="cellIs" dxfId="111" priority="103" operator="equal">
      <formula>"p3"</formula>
    </cfRule>
    <cfRule type="cellIs" dxfId="110" priority="101" operator="equal">
      <formula>"p5"</formula>
    </cfRule>
    <cfRule type="cellIs" dxfId="109" priority="100" operator="equal">
      <formula>"p6"</formula>
    </cfRule>
    <cfRule type="cellIs" dxfId="108" priority="99" operator="equal">
      <formula>"p7"</formula>
    </cfRule>
    <cfRule type="cellIs" dxfId="107" priority="98" operator="equal">
      <formula>"p8"</formula>
    </cfRule>
  </conditionalFormatting>
  <conditionalFormatting sqref="N4:O4">
    <cfRule type="cellIs" dxfId="106" priority="138" operator="equal">
      <formula>"p4"</formula>
    </cfRule>
    <cfRule type="cellIs" dxfId="105" priority="141" operator="equal">
      <formula>"p1"</formula>
    </cfRule>
    <cfRule type="cellIs" dxfId="104" priority="140" operator="equal">
      <formula>"p2"</formula>
    </cfRule>
    <cfRule type="cellIs" dxfId="103" priority="139" operator="equal">
      <formula>"p3"</formula>
    </cfRule>
    <cfRule type="cellIs" dxfId="102" priority="136" operator="equal">
      <formula>"p6"</formula>
    </cfRule>
    <cfRule type="cellIs" dxfId="101" priority="135" operator="equal">
      <formula>"p7"</formula>
    </cfRule>
    <cfRule type="cellIs" dxfId="100" priority="137" operator="equal">
      <formula>"p5"</formula>
    </cfRule>
  </conditionalFormatting>
  <conditionalFormatting sqref="N5:O27">
    <cfRule type="cellIs" dxfId="99" priority="84" operator="equal">
      <formula>"p9"</formula>
    </cfRule>
    <cfRule type="cellIs" dxfId="98" priority="82" operator="equal">
      <formula>"p11"</formula>
    </cfRule>
    <cfRule type="cellIs" dxfId="97" priority="81" operator="equal">
      <formula>"p12"</formula>
    </cfRule>
    <cfRule type="cellIs" dxfId="96" priority="80" operator="equal">
      <formula>"p13"</formula>
    </cfRule>
    <cfRule type="cellIs" dxfId="95" priority="83" operator="equal">
      <formula>"p10"</formula>
    </cfRule>
  </conditionalFormatting>
  <conditionalFormatting sqref="O5:O27">
    <cfRule type="cellIs" dxfId="94" priority="85" operator="equal">
      <formula>"p8"</formula>
    </cfRule>
    <cfRule type="cellIs" dxfId="93" priority="86" operator="equal">
      <formula>"p7"</formula>
    </cfRule>
    <cfRule type="cellIs" dxfId="92" priority="87" operator="equal">
      <formula>"p6"</formula>
    </cfRule>
    <cfRule type="cellIs" dxfId="91" priority="88" operator="equal">
      <formula>"p5"</formula>
    </cfRule>
    <cfRule type="cellIs" dxfId="90" priority="89" operator="equal">
      <formula>"p4"</formula>
    </cfRule>
    <cfRule type="cellIs" dxfId="89" priority="90" operator="equal">
      <formula>"p3"</formula>
    </cfRule>
    <cfRule type="cellIs" dxfId="88" priority="91" operator="equal">
      <formula>"p2"</formula>
    </cfRule>
    <cfRule type="cellIs" dxfId="87" priority="92" operator="equal">
      <formula>"p1"</formula>
    </cfRule>
  </conditionalFormatting>
  <conditionalFormatting sqref="R4:S4">
    <cfRule type="cellIs" dxfId="86" priority="128" operator="equal">
      <formula>"p7"</formula>
    </cfRule>
    <cfRule type="cellIs" dxfId="85" priority="134" operator="equal">
      <formula>"p1"</formula>
    </cfRule>
    <cfRule type="cellIs" dxfId="84" priority="133" operator="equal">
      <formula>"p2"</formula>
    </cfRule>
    <cfRule type="cellIs" dxfId="83" priority="132" operator="equal">
      <formula>"p3"</formula>
    </cfRule>
    <cfRule type="cellIs" dxfId="82" priority="131" operator="equal">
      <formula>"p4"</formula>
    </cfRule>
    <cfRule type="cellIs" dxfId="81" priority="130" operator="equal">
      <formula>"p5"</formula>
    </cfRule>
    <cfRule type="cellIs" dxfId="80" priority="129" operator="equal">
      <formula>"p6"</formula>
    </cfRule>
  </conditionalFormatting>
  <conditionalFormatting sqref="R5:S27">
    <cfRule type="cellIs" dxfId="79" priority="71" operator="equal">
      <formula>"p9"</formula>
    </cfRule>
    <cfRule type="cellIs" dxfId="78" priority="68" operator="equal">
      <formula>"p12"</formula>
    </cfRule>
    <cfRule type="cellIs" dxfId="77" priority="70" operator="equal">
      <formula>"p10"</formula>
    </cfRule>
    <cfRule type="cellIs" dxfId="76" priority="69" operator="equal">
      <formula>"p11"</formula>
    </cfRule>
    <cfRule type="cellIs" dxfId="75" priority="67" operator="equal">
      <formula>"p13"</formula>
    </cfRule>
  </conditionalFormatting>
  <conditionalFormatting sqref="S5:S27">
    <cfRule type="cellIs" dxfId="74" priority="76" operator="equal">
      <formula>"p4"</formula>
    </cfRule>
    <cfRule type="cellIs" dxfId="73" priority="75" operator="equal">
      <formula>"p5"</formula>
    </cfRule>
    <cfRule type="cellIs" dxfId="72" priority="74" operator="equal">
      <formula>"p6"</formula>
    </cfRule>
    <cfRule type="cellIs" dxfId="71" priority="73" operator="equal">
      <formula>"p7"</formula>
    </cfRule>
    <cfRule type="cellIs" dxfId="70" priority="72" operator="equal">
      <formula>"p8"</formula>
    </cfRule>
    <cfRule type="cellIs" dxfId="69" priority="79" operator="equal">
      <formula>"p1"</formula>
    </cfRule>
    <cfRule type="cellIs" dxfId="68" priority="78" operator="equal">
      <formula>"p2"</formula>
    </cfRule>
    <cfRule type="cellIs" dxfId="67" priority="77" operator="equal">
      <formula>"p3"</formula>
    </cfRule>
  </conditionalFormatting>
  <conditionalFormatting sqref="V4:W4">
    <cfRule type="cellIs" dxfId="66" priority="122" operator="equal">
      <formula>"p6"</formula>
    </cfRule>
    <cfRule type="cellIs" dxfId="65" priority="127" operator="equal">
      <formula>"p1"</formula>
    </cfRule>
    <cfRule type="cellIs" dxfId="64" priority="126" operator="equal">
      <formula>"p2"</formula>
    </cfRule>
    <cfRule type="cellIs" dxfId="63" priority="125" operator="equal">
      <formula>"p3"</formula>
    </cfRule>
    <cfRule type="cellIs" dxfId="62" priority="124" operator="equal">
      <formula>"p4"</formula>
    </cfRule>
    <cfRule type="cellIs" dxfId="61" priority="123" operator="equal">
      <formula>"p5"</formula>
    </cfRule>
    <cfRule type="cellIs" dxfId="60" priority="121" operator="equal">
      <formula>"p7"</formula>
    </cfRule>
  </conditionalFormatting>
  <conditionalFormatting sqref="V5:W27">
    <cfRule type="cellIs" dxfId="59" priority="54" operator="equal">
      <formula>"p13"</formula>
    </cfRule>
    <cfRule type="cellIs" dxfId="58" priority="57" operator="equal">
      <formula>"p10"</formula>
    </cfRule>
    <cfRule type="cellIs" dxfId="57" priority="58" operator="equal">
      <formula>"p9"</formula>
    </cfRule>
    <cfRule type="cellIs" dxfId="56" priority="56" operator="equal">
      <formula>"p11"</formula>
    </cfRule>
    <cfRule type="cellIs" dxfId="55" priority="55" operator="equal">
      <formula>"p12"</formula>
    </cfRule>
  </conditionalFormatting>
  <conditionalFormatting sqref="W5:W27">
    <cfRule type="cellIs" dxfId="54" priority="59" operator="equal">
      <formula>"p8"</formula>
    </cfRule>
    <cfRule type="cellIs" dxfId="53" priority="60" operator="equal">
      <formula>"p7"</formula>
    </cfRule>
    <cfRule type="cellIs" dxfId="52" priority="61" operator="equal">
      <formula>"p6"</formula>
    </cfRule>
    <cfRule type="cellIs" dxfId="51" priority="62" operator="equal">
      <formula>"p5"</formula>
    </cfRule>
    <cfRule type="cellIs" dxfId="50" priority="63" operator="equal">
      <formula>"p4"</formula>
    </cfRule>
    <cfRule type="cellIs" dxfId="49" priority="64" operator="equal">
      <formula>"p3"</formula>
    </cfRule>
    <cfRule type="cellIs" dxfId="48" priority="66" operator="equal">
      <formula>"p1"</formula>
    </cfRule>
    <cfRule type="cellIs" dxfId="47" priority="65" operator="equal">
      <formula>"p2"</formula>
    </cfRule>
  </conditionalFormatting>
  <conditionalFormatting sqref="Z4:AA4">
    <cfRule type="cellIs" dxfId="46" priority="116" operator="equal">
      <formula>"p5"</formula>
    </cfRule>
    <cfRule type="cellIs" dxfId="45" priority="115" operator="equal">
      <formula>"p6"</formula>
    </cfRule>
    <cfRule type="cellIs" dxfId="44" priority="114" operator="equal">
      <formula>"p7"</formula>
    </cfRule>
    <cfRule type="cellIs" dxfId="43" priority="117" operator="equal">
      <formula>"p4"</formula>
    </cfRule>
    <cfRule type="cellIs" dxfId="42" priority="118" operator="equal">
      <formula>"p3"</formula>
    </cfRule>
    <cfRule type="cellIs" dxfId="41" priority="119" operator="equal">
      <formula>"p2"</formula>
    </cfRule>
    <cfRule type="cellIs" dxfId="40" priority="120" operator="equal">
      <formula>"p1"</formula>
    </cfRule>
  </conditionalFormatting>
  <conditionalFormatting sqref="Z5:AA27">
    <cfRule type="cellIs" dxfId="39" priority="41" operator="equal">
      <formula>"p13"</formula>
    </cfRule>
    <cfRule type="cellIs" dxfId="38" priority="42" operator="equal">
      <formula>"p12"</formula>
    </cfRule>
    <cfRule type="cellIs" dxfId="37" priority="43" operator="equal">
      <formula>"p11"</formula>
    </cfRule>
    <cfRule type="cellIs" dxfId="36" priority="45" operator="equal">
      <formula>"p9"</formula>
    </cfRule>
    <cfRule type="cellIs" dxfId="35" priority="44" operator="equal">
      <formula>"p10"</formula>
    </cfRule>
  </conditionalFormatting>
  <conditionalFormatting sqref="AA5:AA27">
    <cfRule type="cellIs" dxfId="34" priority="48" operator="equal">
      <formula>"p6"</formula>
    </cfRule>
    <cfRule type="cellIs" dxfId="33" priority="53" operator="equal">
      <formula>"p1"</formula>
    </cfRule>
    <cfRule type="cellIs" dxfId="32" priority="52" operator="equal">
      <formula>"p2"</formula>
    </cfRule>
    <cfRule type="cellIs" dxfId="31" priority="51" operator="equal">
      <formula>"p3"</formula>
    </cfRule>
    <cfRule type="cellIs" dxfId="30" priority="49" operator="equal">
      <formula>"p5"</formula>
    </cfRule>
    <cfRule type="cellIs" dxfId="29" priority="47" operator="equal">
      <formula>"p7"</formula>
    </cfRule>
    <cfRule type="cellIs" dxfId="28" priority="46" operator="equal">
      <formula>"p8"</formula>
    </cfRule>
    <cfRule type="cellIs" dxfId="27" priority="50" operator="equal">
      <formula>"p4"</formula>
    </cfRule>
  </conditionalFormatting>
  <conditionalFormatting sqref="AD4:AE4">
    <cfRule type="cellIs" dxfId="26" priority="38" operator="equal">
      <formula>"p3"</formula>
    </cfRule>
    <cfRule type="cellIs" dxfId="25" priority="37" operator="equal">
      <formula>"p4"</formula>
    </cfRule>
    <cfRule type="cellIs" dxfId="24" priority="36" operator="equal">
      <formula>"p5"</formula>
    </cfRule>
    <cfRule type="cellIs" dxfId="23" priority="35" operator="equal">
      <formula>"p6"</formula>
    </cfRule>
    <cfRule type="cellIs" dxfId="22" priority="34" operator="equal">
      <formula>"p7"</formula>
    </cfRule>
    <cfRule type="cellIs" dxfId="21" priority="40" operator="equal">
      <formula>"p1"</formula>
    </cfRule>
    <cfRule type="cellIs" dxfId="20" priority="39" operator="equal">
      <formula>"p2"</formula>
    </cfRule>
  </conditionalFormatting>
  <conditionalFormatting sqref="AH4:AI4">
    <cfRule type="cellIs" dxfId="19" priority="19" operator="equal">
      <formula>"p2"</formula>
    </cfRule>
    <cfRule type="cellIs" dxfId="18" priority="17" operator="equal">
      <formula>"p4"</formula>
    </cfRule>
    <cfRule type="cellIs" dxfId="17" priority="16" operator="equal">
      <formula>"p5"</formula>
    </cfRule>
    <cfRule type="cellIs" dxfId="16" priority="18" operator="equal">
      <formula>"p3"</formula>
    </cfRule>
    <cfRule type="cellIs" dxfId="15" priority="15" operator="equal">
      <formula>"p6"</formula>
    </cfRule>
    <cfRule type="cellIs" dxfId="14" priority="20" operator="equal">
      <formula>"p1"</formula>
    </cfRule>
    <cfRule type="cellIs" dxfId="13" priority="14" operator="equal">
      <formula>"p7"</formula>
    </cfRule>
  </conditionalFormatting>
  <conditionalFormatting sqref="AH5:AI27">
    <cfRule type="cellIs" dxfId="12" priority="2" operator="equal">
      <formula>"p12"</formula>
    </cfRule>
    <cfRule type="cellIs" dxfId="11" priority="3" operator="equal">
      <formula>"p11"</formula>
    </cfRule>
    <cfRule type="cellIs" dxfId="10" priority="4" operator="equal">
      <formula>"p10"</formula>
    </cfRule>
    <cfRule type="cellIs" dxfId="9" priority="5" operator="equal">
      <formula>"p9"</formula>
    </cfRule>
    <cfRule type="cellIs" dxfId="8" priority="1" operator="equal">
      <formula>"p13"</formula>
    </cfRule>
  </conditionalFormatting>
  <conditionalFormatting sqref="AI5:AI27">
    <cfRule type="cellIs" dxfId="7" priority="6" operator="equal">
      <formula>"p8"</formula>
    </cfRule>
    <cfRule type="cellIs" dxfId="6" priority="8" operator="equal">
      <formula>"p6"</formula>
    </cfRule>
    <cfRule type="cellIs" dxfId="5" priority="7" operator="equal">
      <formula>"p7"</formula>
    </cfRule>
    <cfRule type="cellIs" dxfId="4" priority="11" operator="equal">
      <formula>"p3"</formula>
    </cfRule>
    <cfRule type="cellIs" dxfId="3" priority="13" operator="equal">
      <formula>"p1"</formula>
    </cfRule>
    <cfRule type="cellIs" dxfId="2" priority="12" operator="equal">
      <formula>"p2"</formula>
    </cfRule>
    <cfRule type="cellIs" dxfId="1" priority="10" operator="equal">
      <formula>"p4"</formula>
    </cfRule>
    <cfRule type="cellIs" dxfId="0" priority="9" operator="equal">
      <formula>"p5"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5"/>
  <sheetViews>
    <sheetView showGridLines="0" workbookViewId="0">
      <selection activeCell="O3" sqref="O3:O14"/>
    </sheetView>
  </sheetViews>
  <sheetFormatPr baseColWidth="10" defaultRowHeight="14.4" x14ac:dyDescent="0.3"/>
  <cols>
    <col min="1" max="1" width="1.88671875" bestFit="1" customWidth="1"/>
    <col min="2" max="2" width="19.33203125" bestFit="1" customWidth="1"/>
    <col min="3" max="3" width="5.88671875" bestFit="1" customWidth="1"/>
    <col min="4" max="4" width="6.33203125" bestFit="1" customWidth="1"/>
    <col min="5" max="8" width="5.88671875" bestFit="1" customWidth="1"/>
    <col min="9" max="9" width="6.109375" bestFit="1" customWidth="1"/>
    <col min="10" max="14" width="5.88671875" bestFit="1" customWidth="1"/>
    <col min="16" max="16" width="16.21875" customWidth="1"/>
    <col min="17" max="17" width="46.5546875" customWidth="1"/>
  </cols>
  <sheetData>
    <row r="1" spans="1:14" x14ac:dyDescent="0.3">
      <c r="A1" s="30">
        <v>3</v>
      </c>
    </row>
    <row r="2" spans="1:14" x14ac:dyDescent="0.3">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
      <c r="B3" s="1" t="s">
        <v>1</v>
      </c>
      <c r="C3" s="5">
        <v>0</v>
      </c>
      <c r="D3" s="5">
        <v>1</v>
      </c>
      <c r="E3" s="5">
        <v>1</v>
      </c>
      <c r="F3" s="5">
        <v>1</v>
      </c>
      <c r="G3" s="5">
        <v>1</v>
      </c>
      <c r="H3" s="5">
        <v>1</v>
      </c>
      <c r="I3" s="5">
        <v>0</v>
      </c>
      <c r="J3" s="5">
        <v>0</v>
      </c>
      <c r="K3" s="5">
        <v>0</v>
      </c>
      <c r="L3" s="5">
        <v>0</v>
      </c>
      <c r="M3" s="5">
        <v>0</v>
      </c>
      <c r="N3" s="5">
        <v>0</v>
      </c>
    </row>
    <row r="4" spans="1:14" x14ac:dyDescent="0.3">
      <c r="B4" s="7" t="s">
        <v>28</v>
      </c>
      <c r="C4" s="8">
        <f>VLOOKUP($A$1,[1]resultados_proyectados_proporci!$A$1:$AA$29,MATCH(C$2,[1]resultados_proyectados_proporci!$A$1:$AA$1,0),FALSE)</f>
        <v>4.1286140407391397E-2</v>
      </c>
      <c r="D4" s="8">
        <f>VLOOKUP($A$1,[1]resultados_proyectados_proporci!$A$1:$AA$29,MATCH(D$2,[1]resultados_proyectados_proporci!$A$1:$AA$1,0),FALSE)</f>
        <v>6.0158011655294399E-2</v>
      </c>
      <c r="E4" s="8">
        <f>VLOOKUP($A$1,[1]resultados_proyectados_proporci!$A$1:$AA$29,MATCH(E$2,[1]resultados_proyectados_proporci!$A$1:$AA$1,0),FALSE)</f>
        <v>4.0432178820497502E-2</v>
      </c>
      <c r="F4" s="8">
        <f>VLOOKUP($A$1,[1]resultados_proyectados_proporci!$A$1:$AA$29,MATCH(F$2,[1]resultados_proyectados_proporci!$A$1:$AA$1,0),FALSE)</f>
        <v>2.0979843787259499E-2</v>
      </c>
      <c r="G4" s="8">
        <f>VLOOKUP($A$1,[1]resultados_proyectados_proporci!$A$1:$AA$29,MATCH(G$2,[1]resultados_proyectados_proporci!$A$1:$AA$1,0),FALSE)</f>
        <v>6.4175762342438006E-2</v>
      </c>
      <c r="H4" s="8">
        <f>VLOOKUP($A$1,[1]resultados_proyectados_proporci!$A$1:$AA$29,MATCH(H$2,[1]resultados_proyectados_proporci!$A$1:$AA$1,0),FALSE)</f>
        <v>1.8171131182723701E-2</v>
      </c>
      <c r="I4" s="8">
        <f>VLOOKUP($A$1,[1]resultados_proyectados_proporci!$A$1:$AA$29,MATCH(I$2,[1]resultados_proyectados_proporci!$A$1:$AA$1,0),FALSE)</f>
        <v>5.1442687829713798E-2</v>
      </c>
      <c r="J4" s="8">
        <f>VLOOKUP($A$1,[1]resultados_proyectados_proporci!$A$1:$AA$29,MATCH(J$2,[1]resultados_proyectados_proporci!$A$1:$AA$1,0),FALSE)</f>
        <v>5.53134922793087E-2</v>
      </c>
      <c r="K4" s="8">
        <f>VLOOKUP($A$1,[1]resultados_proyectados_proporci!$A$1:$AA$29,MATCH(K$2,[1]resultados_proyectados_proporci!$A$1:$AA$1,0),FALSE)</f>
        <v>9.7582760539339702E-2</v>
      </c>
      <c r="L4" s="8">
        <f>VLOOKUP($A$1,[1]resultados_proyectados_proporci!$A$1:$AA$29,MATCH(L$2,[1]resultados_proyectados_proporci!$A$1:$AA$1,0),FALSE)</f>
        <v>4.3908686248342203E-2</v>
      </c>
      <c r="M4" s="8">
        <f>VLOOKUP($A$1,[1]resultados_proyectados_proporci!$A$1:$AA$29,MATCH(M$2,[1]resultados_proyectados_proporci!$A$1:$AA$1,0),FALSE)</f>
        <v>4.5091054373245502E-2</v>
      </c>
      <c r="N4" s="8">
        <f>VLOOKUP($A$1,[1]resultados_proyectados_proporci!$A$1:$AA$29,MATCH(N$2,[1]resultados_proyectados_proporci!$A$1:$AA$1,0),FALSE)</f>
        <v>3.9654043583940202E-2</v>
      </c>
    </row>
    <row r="5" spans="1:14" x14ac:dyDescent="0.3">
      <c r="B5" s="1" t="s">
        <v>2</v>
      </c>
      <c r="C5" s="6">
        <f>VLOOKUP($A$1,[2]resultados_integracion_partido_!$A$1:$AA$29,MATCH(C$2,[2]resultados_integracion_partido_!$A$1:$AA$1,0),FALSE)</f>
        <v>0</v>
      </c>
      <c r="D5" s="6">
        <f>VLOOKUP($A$1,[2]resultados_integracion_partido_!$A$1:$AA$29,MATCH(D$2,[2]resultados_integracion_partido_!$A$1:$AA$1,0),FALSE)</f>
        <v>1</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1</v>
      </c>
      <c r="L5" s="6">
        <f>VLOOKUP($A$1,[2]resultados_integracion_partido_!$A$1:$AA$29,MATCH(L$2,[2]resultados_integracion_partido_!$A$1:$AA$1,0),FALSE)</f>
        <v>0</v>
      </c>
      <c r="M5" s="6">
        <f>VLOOKUP($A$1,[2]resultados_integracion_partido_!$A$1:$AA$29,MATCH(M$2,[2]resultados_integracion_partido_!$A$1:$AA$1,0),FALSE)</f>
        <v>0</v>
      </c>
      <c r="N5" s="6">
        <f>VLOOKUP($A$1,[2]resultados_integracion_partido_!$A$1:$AA$29,MATCH(N$2,[2]resultados_integracion_partido_!$A$1:$AA$1,0),FALSE)</f>
        <v>0</v>
      </c>
    </row>
    <row r="6" spans="1:14" x14ac:dyDescent="0.3">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0</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0</v>
      </c>
      <c r="J6" s="6">
        <f>VLOOKUP($A$1,[3]resultados_integracion_partido_!$A$1:$AA$29,MATCH(J$2,[3]resultados_integracion_partido_!$A$1:$AA$1,0),FALSE)</f>
        <v>0</v>
      </c>
      <c r="K6" s="6">
        <f>VLOOKUP($A$1,[3]resultados_integracion_partido_!$A$1:$AA$29,MATCH(K$2,[3]resultados_integracion_partido_!$A$1:$AA$1,0),FALSE)</f>
        <v>1</v>
      </c>
      <c r="L6" s="6">
        <f>VLOOKUP($A$1,[3]resultados_integracion_partido_!$A$1:$AA$29,MATCH(L$2,[3]resultados_integracion_partido_!$A$1:$AA$1,0),FALSE)</f>
        <v>1</v>
      </c>
      <c r="M6" s="6">
        <f>VLOOKUP($A$1,[3]resultados_integracion_partido_!$A$1:$AA$29,MATCH(M$2,[3]resultados_integracion_partido_!$A$1:$AA$1,0),FALSE)</f>
        <v>1</v>
      </c>
      <c r="N6" s="6">
        <f>VLOOKUP($A$1,[3]resultados_integracion_partido_!$A$1:$AA$29,MATCH(N$2,[3]resultados_integracion_partido_!$A$1:$AA$1,0),FALSE)</f>
        <v>0</v>
      </c>
    </row>
    <row r="7" spans="1:14" x14ac:dyDescent="0.3">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c r="L7" s="6">
        <f>VLOOKUP($A$1,[4]resultados_integracion_partido_!$A$1:$AA$29,MATCH(L$2,[4]resultados_integracion_partido_!$A$1:$AA$1,0),FALSE)</f>
        <v>0</v>
      </c>
      <c r="M7" s="6">
        <f>VLOOKUP($A$1,[4]resultados_integracion_partido_!$A$1:$AA$29,MATCH(M$2,[4]resultados_integracion_partido_!$A$1:$AA$1,0),FALSE)</f>
        <v>1</v>
      </c>
      <c r="N7" s="6">
        <f>VLOOKUP($A$1,[4]resultados_integracion_partido_!$A$1:$AA$29,MATCH(N$2,[4]resultados_integracion_partido_!$A$1:$AA$1,0),FALSE)</f>
        <v>0</v>
      </c>
    </row>
    <row r="8" spans="1:14" x14ac:dyDescent="0.3">
      <c r="B8" s="1" t="s">
        <v>5</v>
      </c>
      <c r="C8" s="6">
        <f>VLOOKUP($A$1,[5]resultados_integracion_partido_!$A$1:$AA$29,MATCH(C$2,[5]resultados_integracion_partido_!$A$1:$AA$1,0),FALSE)</f>
        <v>0</v>
      </c>
      <c r="D8" s="6">
        <f>VLOOKUP($A$1,[5]resultados_integracion_partido_!$A$1:$AA$29,MATCH(D$2,[5]resultados_integracion_partido_!$A$1:$AA$1,0),FALSE)</f>
        <v>1</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c r="L8" s="6">
        <f>VLOOKUP($A$1,[5]resultados_integracion_partido_!$A$1:$AA$29,MATCH(L$2,[5]resultados_integracion_partido_!$A$1:$AA$1,0),FALSE)</f>
        <v>1</v>
      </c>
      <c r="M8" s="6">
        <f>VLOOKUP($A$1,[5]resultados_integracion_partido_!$A$1:$AA$29,MATCH(M$2,[5]resultados_integracion_partido_!$A$1:$AA$1,0),FALSE)</f>
        <v>0</v>
      </c>
      <c r="N8" s="6">
        <f>VLOOKUP($A$1,[5]resultados_integracion_partido_!$A$1:$AA$29,MATCH(N$2,[5]resultados_integracion_partido_!$A$1:$AA$1,0),FALSE)</f>
        <v>1</v>
      </c>
    </row>
    <row r="9" spans="1:14" x14ac:dyDescent="0.3">
      <c r="B9" s="1" t="s">
        <v>31</v>
      </c>
      <c r="C9" s="6">
        <f>VLOOKUP($A$1,[6]resultados_integracion_partido_!$A$1:$AA$29,MATCH(C$2,[6]resultados_integracion_partido_!$A$1:$AA$1,0),FALSE)</f>
        <v>0</v>
      </c>
      <c r="D9" s="6">
        <f>VLOOKUP($A$1,[6]resultados_integracion_partido_!$A$1:$AA$29,MATCH(D$2,[6]resultados_integracion_partido_!$A$1:$AA$1,0),FALSE)</f>
        <v>1</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c r="L9" s="6">
        <f>VLOOKUP($A$1,[6]resultados_integracion_partido_!$A$1:$AA$29,MATCH(L$2,[6]resultados_integracion_partido_!$A$1:$AA$1,0),FALSE)</f>
        <v>0</v>
      </c>
      <c r="M9" s="6">
        <f>VLOOKUP($A$1,[6]resultados_integracion_partido_!$A$1:$AA$29,MATCH(M$2,[6]resultados_integracion_partido_!$A$1:$AA$1,0),FALSE)</f>
        <v>1</v>
      </c>
      <c r="N9" s="6">
        <f>VLOOKUP($A$1,[6]resultados_integracion_partido_!$A$1:$AA$29,MATCH(N$2,[6]resultados_integracion_partido_!$A$1:$AA$1,0),FALSE)</f>
        <v>0</v>
      </c>
    </row>
    <row r="10" spans="1:14" x14ac:dyDescent="0.3">
      <c r="B10" s="1" t="s">
        <v>32</v>
      </c>
      <c r="C10" s="6">
        <f>VLOOKUP($A$1,[7]resultados_integracion_partido_!$A$1:$AA$29,MATCH(C$2,[7]resultados_integracion_partido_!$A$1:$AA$1,0),FALSE)</f>
        <v>0</v>
      </c>
      <c r="D10" s="6">
        <f>VLOOKUP($A$1,[7]resultados_integracion_partido_!$A$1:$AA$29,MATCH(D$2,[7]resultados_integracion_partido_!$A$1:$AA$1,0),FALSE)</f>
        <v>1</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c r="L10" s="6">
        <f>VLOOKUP($A$1,[7]resultados_integracion_partido_!$A$1:$AA$29,MATCH(L$2,[7]resultados_integracion_partido_!$A$1:$AA$1,0),FALSE)</f>
        <v>0</v>
      </c>
      <c r="M10" s="6">
        <f>VLOOKUP($A$1,[7]resultados_integracion_partido_!$A$1:$AA$29,MATCH(M$2,[7]resultados_integracion_partido_!$A$1:$AA$1,0),FALSE)</f>
        <v>1</v>
      </c>
      <c r="N10" s="6">
        <f>VLOOKUP($A$1,[7]resultados_integracion_partido_!$A$1:$AA$29,MATCH(N$2,[7]resultados_integracion_partido_!$A$1:$AA$1,0),FALSE)</f>
        <v>0</v>
      </c>
    </row>
    <row r="11" spans="1:14" x14ac:dyDescent="0.3">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0</v>
      </c>
      <c r="K11" s="6">
        <f>VLOOKUP($A$1,[8]resultados_integracion_partido_!$A$1:$AA$29,MATCH(K$2,[8]resultados_integracion_partido_!$A$1:$AA$1,0),FALSE)</f>
        <v>1</v>
      </c>
      <c r="L11" s="6">
        <f>VLOOKUP($A$1,[8]resultados_integracion_partido_!$A$1:$AA$29,MATCH(L$2,[8]resultados_integracion_partido_!$A$1:$AA$1,0),FALSE)</f>
        <v>0</v>
      </c>
      <c r="M11" s="6">
        <f>VLOOKUP($A$1,[8]resultados_integracion_partido_!$A$1:$AA$29,MATCH(M$2,[8]resultados_integracion_partido_!$A$1:$AA$1,0),FALSE)</f>
        <v>0</v>
      </c>
      <c r="N11" s="6">
        <f>VLOOKUP($A$1,[8]resultados_integracion_partido_!$A$1:$AA$29,MATCH(N$2,[8]resultados_integracion_partido_!$A$1:$AA$1,0),FALSE)</f>
        <v>1</v>
      </c>
    </row>
    <row r="12" spans="1:14" x14ac:dyDescent="0.3">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0</v>
      </c>
      <c r="K12" s="6">
        <f>VLOOKUP($A$1,[9]resultados_integracion_partido_!$A$1:$AA$29,MATCH(K$2,[9]resultados_integracion_partido_!$A$1:$AA$1,0),FALSE)</f>
        <v>1</v>
      </c>
      <c r="L12" s="6">
        <f>VLOOKUP($A$1,[9]resultados_integracion_partido_!$A$1:$AA$29,MATCH(L$2,[9]resultados_integracion_partido_!$A$1:$AA$1,0),FALSE)</f>
        <v>0</v>
      </c>
      <c r="M12" s="6">
        <f>VLOOKUP($A$1,[9]resultados_integracion_partido_!$A$1:$AA$29,MATCH(M$2,[9]resultados_integracion_partido_!$A$1:$AA$1,0),FALSE)</f>
        <v>1</v>
      </c>
      <c r="N12" s="6">
        <f>VLOOKUP($A$1,[9]resultados_integracion_partido_!$A$1:$AA$29,MATCH(N$2,[9]resultados_integracion_partido_!$A$1:$AA$1,0),FALSE)</f>
        <v>0</v>
      </c>
    </row>
    <row r="13" spans="1:14" x14ac:dyDescent="0.3">
      <c r="B13" s="1" t="s">
        <v>77</v>
      </c>
      <c r="C13" s="6">
        <f>VLOOKUP($A$1,[10]resultados_integracion_partido_!$A$1:$AA$29,MATCH(C$2,[10]resultados_integracion_partido_!$A$1:$AA$1,0),FALSE)</f>
        <v>0</v>
      </c>
      <c r="D13" s="6">
        <f>VLOOKUP($A$1,[10]resultados_integracion_partido_!$A$1:$AA$29,MATCH(D$2,[10]resultados_integracion_partido_!$A$1:$AA$1,0),FALSE)</f>
        <v>1</v>
      </c>
      <c r="E13" s="6">
        <f>VLOOKUP($A$1,[10]resultados_integracion_partido_!$A$1:$AA$29,MATCH(E$2,[10]resultados_integracion_partido_!$A$1:$AA$1,0),FALSE)</f>
        <v>0</v>
      </c>
      <c r="F13" s="6">
        <f>VLOOKUP($A$1,[10]resultados_integracion_partido_!$A$1:$AA$29,MATCH(F$2,[10]resultados_integracion_partido_!$A$1:$AA$1,0),FALSE)</f>
        <v>0</v>
      </c>
      <c r="G13" s="6">
        <f>VLOOKUP($A$1,[10]resultados_integracion_partido_!$A$1:$AA$29,MATCH(G$2,[10]resultados_integracion_partido_!$A$1:$AA$1,0),FALSE)</f>
        <v>1</v>
      </c>
      <c r="H13" s="6">
        <f>VLOOKUP($A$1,[10]resultados_integracion_partido_!$A$1:$AA$29,MATCH(H$2,[10]resultados_integracion_partido_!$A$1:$AA$1,0),FALSE)</f>
        <v>0</v>
      </c>
      <c r="I13" s="6">
        <f>VLOOKUP($A$1,[10]resultados_integracion_partido_!$A$1:$AA$29,MATCH(I$2,[10]resultados_integracion_partido_!$A$1:$AA$1,0),FALSE)</f>
        <v>1</v>
      </c>
      <c r="J13" s="6">
        <f>VLOOKUP($A$1,[10]resultados_integracion_partido_!$A$1:$AA$29,MATCH(J$2,[10]resultados_integracion_partido_!$A$1:$AA$1,0),FALSE)</f>
        <v>0</v>
      </c>
      <c r="K13" s="6">
        <f>VLOOKUP($A$1,[10]resultados_integracion_partido_!$A$1:$AA$29,MATCH(K$2,[10]resultados_integracion_partido_!$A$1:$AA$1,0),FALSE)</f>
        <v>1</v>
      </c>
      <c r="L13" s="6">
        <f>VLOOKUP($A$1,[10]resultados_integracion_partido_!$A$1:$AA$29,MATCH(L$2,[10]resultados_integracion_partido_!$A$1:$AA$1,0),FALSE)</f>
        <v>0</v>
      </c>
      <c r="M13" s="6">
        <f>VLOOKUP($A$1,[10]resultados_integracion_partido_!$A$1:$AA$29,MATCH(M$2,[10]resultados_integracion_partido_!$A$1:$AA$1,0),FALSE)</f>
        <v>1</v>
      </c>
      <c r="N13" s="6">
        <f>VLOOKUP($A$1,[10]resultados_integracion_partido_!$A$1:$AA$29,MATCH(N$2,[10]resultados_integracion_partido_!$A$1:$AA$1,0),FALSE)</f>
        <v>0</v>
      </c>
    </row>
    <row r="14" spans="1:14" x14ac:dyDescent="0.3">
      <c r="B14" s="1" t="s">
        <v>78</v>
      </c>
      <c r="C14" s="6">
        <f>VLOOKUP($A$1,[11]resultados_integracion_partido_!$A$1:$AA$29,MATCH(C$2,[11]resultados_integracion_partido_!$A$1:$AA$1,0),FALSE)</f>
        <v>0</v>
      </c>
      <c r="D14" s="6">
        <f>VLOOKUP($A$1,[11]resultados_integracion_partido_!$A$1:$AA$29,MATCH(D$2,[11]resultados_integracion_partido_!$A$1:$AA$1,0),FALSE)</f>
        <v>1</v>
      </c>
      <c r="E14" s="6">
        <f>VLOOKUP($A$1,[11]resultados_integracion_partido_!$A$1:$AA$29,MATCH(E$2,[11]resultados_integracion_partido_!$A$1:$AA$1,0),FALSE)</f>
        <v>0</v>
      </c>
      <c r="F14" s="6">
        <f>VLOOKUP($A$1,[11]resultados_integracion_partido_!$A$1:$AA$29,MATCH(F$2,[11]resultados_integracion_partido_!$A$1:$AA$1,0),FALSE)</f>
        <v>0</v>
      </c>
      <c r="G14" s="6">
        <f>VLOOKUP($A$1,[11]resultados_integracion_partido_!$A$1:$AA$29,MATCH(G$2,[11]resultados_integracion_partido_!$A$1:$AA$1,0),FALSE)</f>
        <v>1</v>
      </c>
      <c r="H14" s="6">
        <f>VLOOKUP($A$1,[11]resultados_integracion_partido_!$A$1:$AA$29,MATCH(H$2,[11]resultados_integracion_partido_!$A$1:$AA$1,0),FALSE)</f>
        <v>0</v>
      </c>
      <c r="I14" s="6">
        <f>VLOOKUP($A$1,[11]resultados_integracion_partido_!$A$1:$AA$29,MATCH(I$2,[11]resultados_integracion_partido_!$A$1:$AA$1,0),FALSE)</f>
        <v>1</v>
      </c>
      <c r="J14" s="6">
        <f>VLOOKUP($A$1,[11]resultados_integracion_partido_!$A$1:$AA$29,MATCH(J$2,[11]resultados_integracion_partido_!$A$1:$AA$1,0),FALSE)</f>
        <v>0</v>
      </c>
      <c r="K14" s="6">
        <f>VLOOKUP($A$1,[11]resultados_integracion_partido_!$A$1:$AA$29,MATCH(K$2,[11]resultados_integracion_partido_!$A$1:$AA$1,0),FALSE)</f>
        <v>1</v>
      </c>
      <c r="L14" s="6">
        <f>VLOOKUP($A$1,[11]resultados_integracion_partido_!$A$1:$AA$29,MATCH(L$2,[11]resultados_integracion_partido_!$A$1:$AA$1,0),FALSE)</f>
        <v>0</v>
      </c>
      <c r="M14" s="6">
        <f>VLOOKUP($A$1,[11]resultados_integracion_partido_!$A$1:$AA$29,MATCH(M$2,[11]resultados_integracion_partido_!$A$1:$AA$1,0),FALSE)</f>
        <v>1</v>
      </c>
      <c r="N14" s="6">
        <f>VLOOKUP($A$1,[11]resultados_integracion_partido_!$A$1:$AA$29,MATCH(N$2,[11]resultados_integracion_partido_!$A$1:$AA$1,0),FALSE)</f>
        <v>0</v>
      </c>
    </row>
    <row r="15" spans="1:14" ht="6.45" customHeight="1" thickBot="1" x14ac:dyDescent="0.35"/>
    <row r="16" spans="1:14" ht="14.55" customHeight="1" x14ac:dyDescent="0.3">
      <c r="B16" s="35" t="s">
        <v>64</v>
      </c>
      <c r="C16" s="36"/>
      <c r="D16" s="36"/>
      <c r="E16" s="36"/>
      <c r="F16" s="36"/>
      <c r="G16" s="36"/>
      <c r="H16" s="36"/>
      <c r="I16" s="36"/>
      <c r="J16" s="36"/>
      <c r="K16" s="36"/>
      <c r="L16" s="36"/>
      <c r="M16" s="36"/>
      <c r="N16" s="37"/>
    </row>
    <row r="17" spans="2:14" x14ac:dyDescent="0.3">
      <c r="B17" s="38"/>
      <c r="C17" s="39"/>
      <c r="D17" s="39"/>
      <c r="E17" s="39"/>
      <c r="F17" s="39"/>
      <c r="G17" s="39"/>
      <c r="H17" s="39"/>
      <c r="I17" s="39"/>
      <c r="J17" s="39"/>
      <c r="K17" s="39"/>
      <c r="L17" s="39"/>
      <c r="M17" s="39"/>
      <c r="N17" s="40"/>
    </row>
    <row r="18" spans="2:14" x14ac:dyDescent="0.3">
      <c r="B18" s="38"/>
      <c r="C18" s="39"/>
      <c r="D18" s="39"/>
      <c r="E18" s="39"/>
      <c r="F18" s="39"/>
      <c r="G18" s="39"/>
      <c r="H18" s="39"/>
      <c r="I18" s="39"/>
      <c r="J18" s="39"/>
      <c r="K18" s="39"/>
      <c r="L18" s="39"/>
      <c r="M18" s="39"/>
      <c r="N18" s="40"/>
    </row>
    <row r="19" spans="2:14" x14ac:dyDescent="0.3">
      <c r="B19" s="38"/>
      <c r="C19" s="39"/>
      <c r="D19" s="39"/>
      <c r="E19" s="39"/>
      <c r="F19" s="39"/>
      <c r="G19" s="39"/>
      <c r="H19" s="39"/>
      <c r="I19" s="39"/>
      <c r="J19" s="39"/>
      <c r="K19" s="39"/>
      <c r="L19" s="39"/>
      <c r="M19" s="39"/>
      <c r="N19" s="40"/>
    </row>
    <row r="20" spans="2:14" x14ac:dyDescent="0.3">
      <c r="B20" s="38"/>
      <c r="C20" s="39"/>
      <c r="D20" s="39"/>
      <c r="E20" s="39"/>
      <c r="F20" s="39"/>
      <c r="G20" s="39"/>
      <c r="H20" s="39"/>
      <c r="I20" s="39"/>
      <c r="J20" s="39"/>
      <c r="K20" s="39"/>
      <c r="L20" s="39"/>
      <c r="M20" s="39"/>
      <c r="N20" s="40"/>
    </row>
    <row r="21" spans="2:14" x14ac:dyDescent="0.3">
      <c r="B21" s="38"/>
      <c r="C21" s="39"/>
      <c r="D21" s="39"/>
      <c r="E21" s="39"/>
      <c r="F21" s="39"/>
      <c r="G21" s="39"/>
      <c r="H21" s="39"/>
      <c r="I21" s="39"/>
      <c r="J21" s="39"/>
      <c r="K21" s="39"/>
      <c r="L21" s="39"/>
      <c r="M21" s="39"/>
      <c r="N21" s="40"/>
    </row>
    <row r="22" spans="2:14" x14ac:dyDescent="0.3">
      <c r="B22" s="38"/>
      <c r="C22" s="39"/>
      <c r="D22" s="39"/>
      <c r="E22" s="39"/>
      <c r="F22" s="39"/>
      <c r="G22" s="39"/>
      <c r="H22" s="39"/>
      <c r="I22" s="39"/>
      <c r="J22" s="39"/>
      <c r="K22" s="39"/>
      <c r="L22" s="39"/>
      <c r="M22" s="39"/>
      <c r="N22" s="40"/>
    </row>
    <row r="23" spans="2:14" x14ac:dyDescent="0.3">
      <c r="B23" s="38"/>
      <c r="C23" s="39"/>
      <c r="D23" s="39"/>
      <c r="E23" s="39"/>
      <c r="F23" s="39"/>
      <c r="G23" s="39"/>
      <c r="H23" s="39"/>
      <c r="I23" s="39"/>
      <c r="J23" s="39"/>
      <c r="K23" s="39"/>
      <c r="L23" s="39"/>
      <c r="M23" s="39"/>
      <c r="N23" s="40"/>
    </row>
    <row r="24" spans="2:14" x14ac:dyDescent="0.3">
      <c r="B24" s="38"/>
      <c r="C24" s="39"/>
      <c r="D24" s="39"/>
      <c r="E24" s="39"/>
      <c r="F24" s="39"/>
      <c r="G24" s="39"/>
      <c r="H24" s="39"/>
      <c r="I24" s="39"/>
      <c r="J24" s="39"/>
      <c r="K24" s="39"/>
      <c r="L24" s="39"/>
      <c r="M24" s="39"/>
      <c r="N24" s="40"/>
    </row>
    <row r="25" spans="2:14" ht="130.94999999999999" customHeight="1" thickBot="1" x14ac:dyDescent="0.35">
      <c r="B25" s="41"/>
      <c r="C25" s="42"/>
      <c r="D25" s="42"/>
      <c r="E25" s="42"/>
      <c r="F25" s="42"/>
      <c r="G25" s="42"/>
      <c r="H25" s="42"/>
      <c r="I25" s="42"/>
      <c r="J25" s="42"/>
      <c r="K25" s="42"/>
      <c r="L25" s="42"/>
      <c r="M25" s="42"/>
      <c r="N25" s="43"/>
    </row>
  </sheetData>
  <mergeCells count="1">
    <mergeCell ref="B16:N25"/>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5"/>
  <sheetViews>
    <sheetView showGridLines="0" zoomScaleNormal="100" workbookViewId="0">
      <selection activeCell="L3" sqref="L3:L14"/>
    </sheetView>
  </sheetViews>
  <sheetFormatPr baseColWidth="10" defaultRowHeight="14.4" x14ac:dyDescent="0.3"/>
  <cols>
    <col min="1" max="1" width="1.88671875" bestFit="1" customWidth="1"/>
    <col min="2" max="2" width="19.33203125" bestFit="1" customWidth="1"/>
    <col min="3" max="7" width="5.88671875" bestFit="1" customWidth="1"/>
    <col min="8" max="8" width="6.109375" bestFit="1" customWidth="1"/>
    <col min="9" max="11" width="5.88671875" bestFit="1" customWidth="1"/>
    <col min="13" max="13" width="16.21875" customWidth="1"/>
    <col min="14" max="14" width="46" customWidth="1"/>
  </cols>
  <sheetData>
    <row r="1" spans="1:11" x14ac:dyDescent="0.3">
      <c r="A1" s="30">
        <v>5</v>
      </c>
    </row>
    <row r="2" spans="1:11" x14ac:dyDescent="0.3">
      <c r="B2" s="2" t="s">
        <v>0</v>
      </c>
      <c r="C2" s="2" t="s">
        <v>11</v>
      </c>
      <c r="D2" s="2" t="s">
        <v>22</v>
      </c>
      <c r="E2" s="2" t="s">
        <v>23</v>
      </c>
      <c r="F2" s="2" t="s">
        <v>61</v>
      </c>
      <c r="G2" s="2" t="s">
        <v>15</v>
      </c>
      <c r="H2" s="2" t="s">
        <v>17</v>
      </c>
      <c r="I2" s="2" t="s">
        <v>60</v>
      </c>
      <c r="J2" s="2" t="s">
        <v>20</v>
      </c>
      <c r="K2" s="9" t="s">
        <v>21</v>
      </c>
    </row>
    <row r="3" spans="1:11" x14ac:dyDescent="0.3">
      <c r="B3" s="1" t="s">
        <v>1</v>
      </c>
      <c r="C3" s="5">
        <v>1</v>
      </c>
      <c r="D3" s="5">
        <v>1</v>
      </c>
      <c r="E3" s="5">
        <v>2</v>
      </c>
      <c r="F3" s="5">
        <v>1</v>
      </c>
      <c r="G3" s="5">
        <v>0</v>
      </c>
      <c r="H3" s="5">
        <v>1</v>
      </c>
      <c r="I3" s="5">
        <v>0</v>
      </c>
      <c r="J3" s="5">
        <v>1</v>
      </c>
      <c r="K3" s="5">
        <v>0</v>
      </c>
    </row>
    <row r="4" spans="1:11" x14ac:dyDescent="0.3">
      <c r="B4" s="7" t="s">
        <v>28</v>
      </c>
      <c r="C4" s="8">
        <f>VLOOKUP($A$1,[1]resultados_proyectados_proporci!$A$1:$AA$29,MATCH(C$2,[1]resultados_proyectados_proporci!$A$1:$AA$1,0),FALSE)</f>
        <v>5.02370237710381E-2</v>
      </c>
      <c r="D4" s="8">
        <f>VLOOKUP($A$1,[1]resultados_proyectados_proporci!$A$1:$AA$29,MATCH(D$2,[1]resultados_proyectados_proporci!$A$1:$AA$1,0),FALSE)</f>
        <v>5.9917163267466302E-2</v>
      </c>
      <c r="E4" s="8">
        <f>VLOOKUP($A$1,[1]resultados_proyectados_proporci!$A$1:$AA$29,MATCH(E$2,[1]resultados_proyectados_proporci!$A$1:$AA$1,0),FALSE)</f>
        <v>9.4617829566033304E-2</v>
      </c>
      <c r="F4" s="8">
        <f>VLOOKUP($A$1,[1]resultados_proyectados_proporci!$A$1:$AA$29,MATCH(F$2,[1]resultados_proyectados_proporci!$A$1:$AA$1,0),FALSE)</f>
        <v>3.0487307713214101E-2</v>
      </c>
      <c r="G4" s="8">
        <f>VLOOKUP($A$1,[1]resultados_proyectados_proporci!$A$1:$AA$29,MATCH(G$2,[1]resultados_proyectados_proporci!$A$1:$AA$1,0),FALSE)</f>
        <v>8.5525958179680298E-2</v>
      </c>
      <c r="H4" s="8">
        <f>VLOOKUP($A$1,[1]resultados_proyectados_proporci!$A$1:$AA$29,MATCH(H$2,[1]resultados_proyectados_proporci!$A$1:$AA$1,0),FALSE)</f>
        <v>7.5763210820986193E-2</v>
      </c>
      <c r="I4" s="8">
        <f>VLOOKUP($A$1,[1]resultados_proyectados_proporci!$A$1:$AA$29,MATCH(I$2,[1]resultados_proyectados_proporci!$A$1:$AA$1,0),FALSE)</f>
        <v>8.2057500793893706E-2</v>
      </c>
      <c r="J4" s="8">
        <f>VLOOKUP($A$1,[1]resultados_proyectados_proporci!$A$1:$AA$29,MATCH(J$2,[1]resultados_proyectados_proporci!$A$1:$AA$1,0),FALSE)</f>
        <v>6.2396471964822599E-2</v>
      </c>
      <c r="K4" s="8">
        <f>VLOOKUP($A$1,[1]resultados_proyectados_proporci!$A$1:$AA$29,MATCH(K$2,[1]resultados_proyectados_proporci!$A$1:$AA$1,0),FALSE)</f>
        <v>3.0860294727687199E-2</v>
      </c>
    </row>
    <row r="5" spans="1:11" x14ac:dyDescent="0.3">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0</v>
      </c>
    </row>
    <row r="6" spans="1:11" x14ac:dyDescent="0.3">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0</v>
      </c>
    </row>
    <row r="7" spans="1:11" x14ac:dyDescent="0.3">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2</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c r="K8" s="6">
        <f>VLOOKUP($A$1,[5]resultados_integracion_partido_!$A$1:$AA$29,MATCH(K$2,[5]resultados_integracion_partido_!$A$1:$AA$1,0),FALSE)</f>
        <v>0</v>
      </c>
    </row>
    <row r="9" spans="1:11" x14ac:dyDescent="0.3">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c r="K9" s="6">
        <f>VLOOKUP($A$1,[6]resultados_integracion_partido_!$A$1:$AA$29,MATCH(K$2,[6]resultados_integracion_partido_!$A$1:$AA$1,0),FALSE)</f>
        <v>0</v>
      </c>
    </row>
    <row r="10" spans="1:11" x14ac:dyDescent="0.3">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c r="K10" s="6">
        <f>VLOOKUP($A$1,[7]resultados_integracion_partido_!$A$1:$AA$29,MATCH(K$2,[7]resultados_integracion_partido_!$A$1:$AA$1,0),FALSE)</f>
        <v>0</v>
      </c>
    </row>
    <row r="11" spans="1:11" x14ac:dyDescent="0.3">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2</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x14ac:dyDescent="0.3">
      <c r="B13" s="1" t="s">
        <v>77</v>
      </c>
      <c r="C13" s="6">
        <f>VLOOKUP($A$1,[10]resultados_integracion_partido_!$A$1:$AA$29,MATCH(C$2,[10]resultados_integracion_partido_!$A$1:$AA$1,0),FALSE)</f>
        <v>1</v>
      </c>
      <c r="D13" s="6">
        <f>VLOOKUP($A$1,[10]resultados_integracion_partido_!$A$1:$AA$29,MATCH(D$2,[10]resultados_integracion_partido_!$A$1:$AA$1,0),FALSE)</f>
        <v>1</v>
      </c>
      <c r="E13" s="6">
        <f>VLOOKUP($A$1,[10]resultados_integracion_partido_!$A$1:$AA$29,MATCH(E$2,[10]resultados_integracion_partido_!$A$1:$AA$1,0),FALSE)</f>
        <v>1</v>
      </c>
      <c r="F13" s="6">
        <f>VLOOKUP($A$1,[10]resultados_integracion_partido_!$A$1:$AA$29,MATCH(F$2,[10]resultados_integracion_partido_!$A$1:$AA$1,0),FALSE)</f>
        <v>0</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1</v>
      </c>
      <c r="J13" s="6">
        <f>VLOOKUP($A$1,[10]resultados_integracion_partido_!$A$1:$AA$29,MATCH(J$2,[10]resultados_integracion_partido_!$A$1:$AA$1,0),FALSE)</f>
        <v>1</v>
      </c>
      <c r="K13" s="6">
        <f>VLOOKUP($A$1,[10]resultados_integracion_partido_!$A$1:$AA$29,MATCH(K$2,[10]resultados_integracion_partido_!$A$1:$AA$1,0),FALSE)</f>
        <v>0</v>
      </c>
    </row>
    <row r="14" spans="1:11" x14ac:dyDescent="0.3">
      <c r="B14" s="1" t="s">
        <v>78</v>
      </c>
      <c r="C14" s="6">
        <f>VLOOKUP($A$1,[11]resultados_integracion_partido_!$A$1:$AA$29,MATCH(C$2,[11]resultados_integracion_partido_!$A$1:$AA$1,0),FALSE)</f>
        <v>1</v>
      </c>
      <c r="D14" s="6">
        <f>VLOOKUP($A$1,[11]resultados_integracion_partido_!$A$1:$AA$29,MATCH(D$2,[11]resultados_integracion_partido_!$A$1:$AA$1,0),FALSE)</f>
        <v>1</v>
      </c>
      <c r="E14" s="6">
        <f>VLOOKUP($A$1,[11]resultados_integracion_partido_!$A$1:$AA$29,MATCH(E$2,[11]resultados_integracion_partido_!$A$1:$AA$1,0),FALSE)</f>
        <v>1</v>
      </c>
      <c r="F14" s="6">
        <f>VLOOKUP($A$1,[11]resultados_integracion_partido_!$A$1:$AA$29,MATCH(F$2,[11]resultados_integracion_partido_!$A$1:$AA$1,0),FALSE)</f>
        <v>0</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1</v>
      </c>
      <c r="J14" s="6">
        <f>VLOOKUP($A$1,[11]resultados_integracion_partido_!$A$1:$AA$29,MATCH(J$2,[11]resultados_integracion_partido_!$A$1:$AA$1,0),FALSE)</f>
        <v>1</v>
      </c>
      <c r="K14" s="6">
        <f>VLOOKUP($A$1,[11]resultados_integracion_partido_!$A$1:$AA$29,MATCH(K$2,[11]resultados_integracion_partido_!$A$1:$AA$1,0),FALSE)</f>
        <v>0</v>
      </c>
    </row>
    <row r="15" spans="1:11" ht="15" thickBot="1" x14ac:dyDescent="0.35"/>
    <row r="16" spans="1:11" ht="14.55" customHeight="1" x14ac:dyDescent="0.3">
      <c r="B16" s="35" t="s">
        <v>65</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0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K25"/>
  <sheetViews>
    <sheetView showGridLines="0" workbookViewId="0">
      <selection activeCell="L3" sqref="L3:L14"/>
    </sheetView>
  </sheetViews>
  <sheetFormatPr baseColWidth="10" defaultRowHeight="14.4" x14ac:dyDescent="0.3"/>
  <cols>
    <col min="1" max="1" width="1.88671875" bestFit="1" customWidth="1"/>
    <col min="2" max="2" width="19.33203125" bestFit="1" customWidth="1"/>
    <col min="3" max="6" width="5.88671875" bestFit="1" customWidth="1"/>
    <col min="7" max="7" width="6.88671875" bestFit="1" customWidth="1"/>
    <col min="8" max="8" width="5.88671875" bestFit="1" customWidth="1"/>
    <col min="9" max="9" width="6.109375" bestFit="1" customWidth="1"/>
    <col min="10" max="10" width="6.88671875" bestFit="1" customWidth="1"/>
    <col min="11" max="11" width="5.88671875" bestFit="1" customWidth="1"/>
    <col min="13" max="13" width="16.21875" customWidth="1"/>
    <col min="14" max="14" width="46" customWidth="1"/>
  </cols>
  <sheetData>
    <row r="1" spans="1:11" x14ac:dyDescent="0.3">
      <c r="A1" s="30">
        <v>6</v>
      </c>
    </row>
    <row r="2" spans="1:11" x14ac:dyDescent="0.3">
      <c r="B2" s="2" t="s">
        <v>0</v>
      </c>
      <c r="C2" s="2" t="s">
        <v>11</v>
      </c>
      <c r="D2" s="2" t="s">
        <v>14</v>
      </c>
      <c r="E2" s="2" t="s">
        <v>25</v>
      </c>
      <c r="F2" s="2" t="s">
        <v>22</v>
      </c>
      <c r="G2" s="2" t="s">
        <v>15</v>
      </c>
      <c r="H2" s="2" t="s">
        <v>23</v>
      </c>
      <c r="I2" s="2" t="s">
        <v>17</v>
      </c>
      <c r="J2" s="2" t="s">
        <v>60</v>
      </c>
      <c r="K2" s="2" t="s">
        <v>20</v>
      </c>
    </row>
    <row r="3" spans="1:11" x14ac:dyDescent="0.3">
      <c r="B3" s="1" t="s">
        <v>1</v>
      </c>
      <c r="C3" s="5">
        <v>2</v>
      </c>
      <c r="D3" s="5">
        <v>1</v>
      </c>
      <c r="E3" s="5">
        <v>1</v>
      </c>
      <c r="F3" s="5">
        <v>1</v>
      </c>
      <c r="G3" s="5">
        <v>2</v>
      </c>
      <c r="H3" s="5">
        <v>0</v>
      </c>
      <c r="I3" s="5">
        <v>0</v>
      </c>
      <c r="J3" s="5">
        <v>1</v>
      </c>
      <c r="K3" s="5">
        <v>0</v>
      </c>
    </row>
    <row r="4" spans="1:11" x14ac:dyDescent="0.3">
      <c r="B4" s="7" t="s">
        <v>28</v>
      </c>
      <c r="C4" s="8">
        <f>VLOOKUP($A$1,[1]resultados_proyectados_proporci!$A$1:$AA$29,MATCH(C$2,[1]resultados_proyectados_proporci!$A$1:$AA$1,0),FALSE)</f>
        <v>6.2517902032209097E-2</v>
      </c>
      <c r="D4" s="8">
        <f>VLOOKUP($A$1,[1]resultados_proyectados_proporci!$A$1:$AA$29,MATCH(D$2,[1]resultados_proyectados_proporci!$A$1:$AA$1,0),FALSE)</f>
        <v>3.8456165284210399E-2</v>
      </c>
      <c r="E4" s="8">
        <f>VLOOKUP($A$1,[1]resultados_proyectados_proporci!$A$1:$AA$29,MATCH(E$2,[1]resultados_proyectados_proporci!$A$1:$AA$1,0),FALSE)</f>
        <v>1.3621707255849999E-2</v>
      </c>
      <c r="F4" s="8">
        <f>VLOOKUP($A$1,[1]resultados_proyectados_proporci!$A$1:$AA$29,MATCH(F$2,[1]resultados_proyectados_proporci!$A$1:$AA$1,0),FALSE)</f>
        <v>5.2437107824273799E-2</v>
      </c>
      <c r="G4" s="8">
        <f>VLOOKUP($A$1,[1]resultados_proyectados_proporci!$A$1:$AA$29,MATCH(G$2,[1]resultados_proyectados_proporci!$A$1:$AA$1,0),FALSE)</f>
        <v>0.12779078451870199</v>
      </c>
      <c r="H4" s="8">
        <f>VLOOKUP($A$1,[1]resultados_proyectados_proporci!$A$1:$AA$29,MATCH(H$2,[1]resultados_proyectados_proporci!$A$1:$AA$1,0),FALSE)</f>
        <v>5.7433514065972802E-2</v>
      </c>
      <c r="I4" s="8">
        <f>VLOOKUP($A$1,[1]resultados_proyectados_proporci!$A$1:$AA$29,MATCH(I$2,[1]resultados_proyectados_proporci!$A$1:$AA$1,0),FALSE)</f>
        <v>5.9195116199122003E-2</v>
      </c>
      <c r="J4" s="8">
        <f>VLOOKUP($A$1,[1]resultados_proyectados_proporci!$A$1:$AA$29,MATCH(J$2,[1]resultados_proyectados_proporci!$A$1:$AA$1,0),FALSE)</f>
        <v>0.134046481897549</v>
      </c>
      <c r="K4" s="8">
        <f>VLOOKUP($A$1,[1]resultados_proyectados_proporci!$A$1:$AA$29,MATCH(K$2,[1]resultados_proyectados_proporci!$A$1:$AA$1,0),FALSE)</f>
        <v>4.6879642406291701E-2</v>
      </c>
    </row>
    <row r="5" spans="1:11" x14ac:dyDescent="0.3">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c r="K5" s="6">
        <f>VLOOKUP($A$1,[2]resultados_integracion_partido_!$A$1:$AA$29,MATCH(K$2,[2]resultados_integracion_partido_!$A$1:$AA$1,0),FALSE)</f>
        <v>0</v>
      </c>
    </row>
    <row r="6" spans="1:11" x14ac:dyDescent="0.3">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2</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2</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2</v>
      </c>
      <c r="H8" s="6">
        <f>VLOOKUP($A$1,[5]resultados_integracion_partido_!$A$1:$AA$29,MATCH(H$2,[5]resultados_integracion_partido_!$A$1:$AA$1,0),FALSE)</f>
        <v>1</v>
      </c>
      <c r="I8" s="6">
        <f>VLOOKUP($A$1,[5]resultados_integracion_partido_!$A$1:$AA$29,MATCH(I$2,[5]resultados_integracion_partido_!$A$1:$AA$1,0),FALSE)</f>
        <v>0</v>
      </c>
      <c r="J8" s="6">
        <f>VLOOKUP($A$1,[5]resultados_integracion_partido_!$A$1:$AA$29,MATCH(J$2,[5]resultados_integracion_partido_!$A$1:$AA$1,0),FALSE)</f>
        <v>2</v>
      </c>
      <c r="K8" s="6">
        <f>VLOOKUP($A$1,[5]resultados_integracion_partido_!$A$1:$AA$29,MATCH(K$2,[5]resultados_integracion_partido_!$A$1:$AA$1,0),FALSE)</f>
        <v>1</v>
      </c>
    </row>
    <row r="9" spans="1:11"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2</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2</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x14ac:dyDescent="0.3">
      <c r="B13" s="1" t="s">
        <v>77</v>
      </c>
      <c r="C13" s="6">
        <f>VLOOKUP($A$1,[10]resultados_integracion_partido_!$A$1:$AA$29,MATCH(C$2,[10]resultados_integracion_partido_!$A$1:$AA$1,0),FALSE)</f>
        <v>1</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1</v>
      </c>
      <c r="G13" s="6">
        <f>VLOOKUP($A$1,[10]resultados_integracion_partido_!$A$1:$AA$29,MATCH(G$2,[10]resultados_integracion_partido_!$A$1:$AA$1,0),FALSE)</f>
        <v>2</v>
      </c>
      <c r="H13" s="6">
        <f>VLOOKUP($A$1,[10]resultados_integracion_partido_!$A$1:$AA$29,MATCH(H$2,[10]resultados_integracion_partido_!$A$1:$AA$1,0),FALSE)</f>
        <v>0</v>
      </c>
      <c r="I13" s="6">
        <f>VLOOKUP($A$1,[10]resultados_integracion_partido_!$A$1:$AA$29,MATCH(I$2,[10]resultados_integracion_partido_!$A$1:$AA$1,0),FALSE)</f>
        <v>1</v>
      </c>
      <c r="J13" s="6">
        <f>VLOOKUP($A$1,[10]resultados_integracion_partido_!$A$1:$AA$29,MATCH(J$2,[10]resultados_integracion_partido_!$A$1:$AA$1,0),FALSE)</f>
        <v>2</v>
      </c>
      <c r="K13" s="6">
        <f>VLOOKUP($A$1,[10]resultados_integracion_partido_!$A$1:$AA$29,MATCH(K$2,[10]resultados_integracion_partido_!$A$1:$AA$1,0),FALSE)</f>
        <v>1</v>
      </c>
    </row>
    <row r="14" spans="1:11" x14ac:dyDescent="0.3">
      <c r="B14" s="1" t="s">
        <v>78</v>
      </c>
      <c r="C14" s="6">
        <f>VLOOKUP($A$1,[11]resultados_integracion_partido_!$A$1:$AA$29,MATCH(C$2,[11]resultados_integracion_partido_!$A$1:$AA$1,0),FALSE)</f>
        <v>1</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1</v>
      </c>
      <c r="G14" s="6">
        <f>VLOOKUP($A$1,[11]resultados_integracion_partido_!$A$1:$AA$29,MATCH(G$2,[11]resultados_integracion_partido_!$A$1:$AA$1,0),FALSE)</f>
        <v>2</v>
      </c>
      <c r="H14" s="6">
        <f>VLOOKUP($A$1,[11]resultados_integracion_partido_!$A$1:$AA$29,MATCH(H$2,[11]resultados_integracion_partido_!$A$1:$AA$1,0),FALSE)</f>
        <v>0</v>
      </c>
      <c r="I14" s="6">
        <f>VLOOKUP($A$1,[11]resultados_integracion_partido_!$A$1:$AA$29,MATCH(I$2,[11]resultados_integracion_partido_!$A$1:$AA$1,0),FALSE)</f>
        <v>1</v>
      </c>
      <c r="J14" s="6">
        <f>VLOOKUP($A$1,[11]resultados_integracion_partido_!$A$1:$AA$29,MATCH(J$2,[11]resultados_integracion_partido_!$A$1:$AA$1,0),FALSE)</f>
        <v>2</v>
      </c>
      <c r="K14" s="6">
        <f>VLOOKUP($A$1,[11]resultados_integracion_partido_!$A$1:$AA$29,MATCH(K$2,[11]resultados_integracion_partido_!$A$1:$AA$1,0),FALSE)</f>
        <v>1</v>
      </c>
    </row>
    <row r="15" spans="1:11" ht="15" thickBot="1" x14ac:dyDescent="0.35"/>
    <row r="16" spans="1:11" ht="14.55" customHeight="1" x14ac:dyDescent="0.3">
      <c r="B16" s="35" t="s">
        <v>66</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98.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5"/>
  <sheetViews>
    <sheetView showGridLines="0" zoomScaleNormal="100" workbookViewId="0">
      <selection activeCell="L3" sqref="L3:L14"/>
    </sheetView>
  </sheetViews>
  <sheetFormatPr baseColWidth="10" defaultRowHeight="14.4" x14ac:dyDescent="0.3"/>
  <cols>
    <col min="1" max="1" width="1.88671875" bestFit="1" customWidth="1"/>
    <col min="2" max="2" width="19.33203125" bestFit="1" customWidth="1"/>
    <col min="3" max="3" width="6.88671875" bestFit="1" customWidth="1"/>
    <col min="4" max="8" width="5.88671875" bestFit="1" customWidth="1"/>
    <col min="9" max="9" width="6.109375" bestFit="1" customWidth="1"/>
    <col min="10" max="10" width="6.88671875" bestFit="1" customWidth="1"/>
    <col min="11" max="11" width="5.88671875" bestFit="1" customWidth="1"/>
    <col min="13" max="13" width="16.21875" customWidth="1"/>
    <col min="14" max="14" width="46.6640625" customWidth="1"/>
  </cols>
  <sheetData>
    <row r="1" spans="1:11" x14ac:dyDescent="0.3">
      <c r="A1" s="30">
        <v>7</v>
      </c>
    </row>
    <row r="2" spans="1:11" x14ac:dyDescent="0.3">
      <c r="B2" s="2" t="s">
        <v>0</v>
      </c>
      <c r="C2" s="2" t="s">
        <v>11</v>
      </c>
      <c r="D2" s="2" t="s">
        <v>21</v>
      </c>
      <c r="E2" s="2" t="s">
        <v>62</v>
      </c>
      <c r="F2" s="2" t="s">
        <v>22</v>
      </c>
      <c r="G2" s="2" t="s">
        <v>15</v>
      </c>
      <c r="H2" s="2" t="s">
        <v>23</v>
      </c>
      <c r="I2" s="2" t="s">
        <v>17</v>
      </c>
      <c r="J2" s="2" t="s">
        <v>60</v>
      </c>
      <c r="K2" s="2" t="s">
        <v>20</v>
      </c>
    </row>
    <row r="3" spans="1:11" x14ac:dyDescent="0.3">
      <c r="B3" s="1" t="s">
        <v>1</v>
      </c>
      <c r="C3" s="5">
        <v>2</v>
      </c>
      <c r="D3" s="5">
        <v>1</v>
      </c>
      <c r="E3" s="5">
        <v>1</v>
      </c>
      <c r="F3" s="5">
        <v>1</v>
      </c>
      <c r="G3" s="5">
        <v>1</v>
      </c>
      <c r="H3" s="5">
        <v>0</v>
      </c>
      <c r="I3" s="5">
        <v>1</v>
      </c>
      <c r="J3" s="5">
        <v>1</v>
      </c>
      <c r="K3" s="5">
        <v>0</v>
      </c>
    </row>
    <row r="4" spans="1:11" x14ac:dyDescent="0.3">
      <c r="B4" s="7" t="s">
        <v>29</v>
      </c>
      <c r="C4" s="8">
        <f>VLOOKUP($A$1,[1]resultados_proyectados_proporci!$A$1:$AA$29,MATCH(C$2,[1]resultados_proyectados_proporci!$A$1:$AA$1,0),FALSE)</f>
        <v>0.106385424878759</v>
      </c>
      <c r="D4" s="8">
        <f>VLOOKUP($A$1,[1]resultados_proyectados_proporci!$A$1:$AA$29,MATCH(D$2,[1]resultados_proyectados_proporci!$A$1:$AA$1,0),FALSE)</f>
        <v>3.22538163835734E-2</v>
      </c>
      <c r="E4" s="8">
        <f>VLOOKUP($A$1,[1]resultados_proyectados_proporci!$A$1:$AA$29,MATCH(E$2,[1]resultados_proyectados_proporci!$A$1:$AA$1,0),FALSE)</f>
        <v>1.7617477722831398E-2</v>
      </c>
      <c r="F4" s="8">
        <f>VLOOKUP($A$1,[1]resultados_proyectados_proporci!$A$1:$AA$29,MATCH(F$2,[1]resultados_proyectados_proporci!$A$1:$AA$1,0),FALSE)</f>
        <v>3.3905193626221297E-2</v>
      </c>
      <c r="G4" s="8">
        <f>VLOOKUP($A$1,[1]resultados_proyectados_proporci!$A$1:$AA$29,MATCH(G$2,[1]resultados_proyectados_proporci!$A$1:$AA$1,0),FALSE)</f>
        <v>8.1187737404142493E-2</v>
      </c>
      <c r="H4" s="8">
        <f>VLOOKUP($A$1,[1]resultados_proyectados_proporci!$A$1:$AA$29,MATCH(H$2,[1]resultados_proyectados_proporci!$A$1:$AA$1,0),FALSE)</f>
        <v>6.8755524498913007E-2</v>
      </c>
      <c r="I4" s="8">
        <f>VLOOKUP($A$1,[1]resultados_proyectados_proporci!$A$1:$AA$29,MATCH(I$2,[1]resultados_proyectados_proporci!$A$1:$AA$1,0),FALSE)</f>
        <v>6.2897465300174399E-2</v>
      </c>
      <c r="J4" s="8">
        <f>VLOOKUP($A$1,[1]resultados_proyectados_proporci!$A$1:$AA$29,MATCH(J$2,[1]resultados_proyectados_proporci!$A$1:$AA$1,0),FALSE)</f>
        <v>0.15184368952913299</v>
      </c>
      <c r="K4" s="8">
        <f>VLOOKUP($A$1,[1]resultados_proyectados_proporci!$A$1:$AA$29,MATCH(K$2,[1]resultados_proyectados_proporci!$A$1:$AA$1,0),FALSE)</f>
        <v>4.3716405074177601E-2</v>
      </c>
    </row>
    <row r="5" spans="1:11" x14ac:dyDescent="0.3">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3</v>
      </c>
      <c r="K5" s="6">
        <f>VLOOKUP($A$1,[2]resultados_integracion_partido_!$A$1:$AA$29,MATCH(K$2,[2]resultados_integracion_partido_!$A$1:$AA$1,0),FALSE)</f>
        <v>0</v>
      </c>
    </row>
    <row r="6" spans="1:11" x14ac:dyDescent="0.3">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1</v>
      </c>
    </row>
    <row r="9" spans="1:11"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x14ac:dyDescent="0.3">
      <c r="B13" s="1" t="s">
        <v>77</v>
      </c>
      <c r="C13" s="6">
        <f>VLOOKUP($A$1,[10]resultados_integracion_partido_!$A$1:$AA$29,MATCH(C$2,[10]resultados_integracion_partido_!$A$1:$AA$1,0),FALSE)</f>
        <v>2</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0</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1</v>
      </c>
      <c r="J13" s="6">
        <f>VLOOKUP($A$1,[10]resultados_integracion_partido_!$A$1:$AA$29,MATCH(J$2,[10]resultados_integracion_partido_!$A$1:$AA$1,0),FALSE)</f>
        <v>2</v>
      </c>
      <c r="K13" s="6">
        <f>VLOOKUP($A$1,[10]resultados_integracion_partido_!$A$1:$AA$29,MATCH(K$2,[10]resultados_integracion_partido_!$A$1:$AA$1,0),FALSE)</f>
        <v>1</v>
      </c>
    </row>
    <row r="14" spans="1:11" x14ac:dyDescent="0.3">
      <c r="B14" s="1" t="s">
        <v>78</v>
      </c>
      <c r="C14" s="6">
        <f>VLOOKUP($A$1,[11]resultados_integracion_partido_!$A$1:$AA$29,MATCH(C$2,[11]resultados_integracion_partido_!$A$1:$AA$1,0),FALSE)</f>
        <v>2</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0</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1</v>
      </c>
      <c r="J14" s="6">
        <f>VLOOKUP($A$1,[11]resultados_integracion_partido_!$A$1:$AA$29,MATCH(J$2,[11]resultados_integracion_partido_!$A$1:$AA$1,0),FALSE)</f>
        <v>2</v>
      </c>
      <c r="K14" s="6">
        <f>VLOOKUP($A$1,[11]resultados_integracion_partido_!$A$1:$AA$29,MATCH(K$2,[11]resultados_integracion_partido_!$A$1:$AA$1,0),FALSE)</f>
        <v>1</v>
      </c>
    </row>
    <row r="15" spans="1:11" ht="15" thickBot="1" x14ac:dyDescent="0.35"/>
    <row r="16" spans="1:11" ht="14.55" customHeight="1" x14ac:dyDescent="0.3">
      <c r="B16" s="35" t="s">
        <v>67</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45.94999999999999"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5"/>
  <sheetViews>
    <sheetView showGridLines="0" topLeftCell="A17" workbookViewId="0">
      <selection activeCell="L11" sqref="L11"/>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5.88671875" bestFit="1" customWidth="1"/>
    <col min="12" max="12" width="16.21875" customWidth="1"/>
    <col min="13" max="13" width="47.6640625" customWidth="1"/>
  </cols>
  <sheetData>
    <row r="1" spans="1:10" x14ac:dyDescent="0.3">
      <c r="A1" s="30">
        <v>8</v>
      </c>
    </row>
    <row r="2" spans="1:10" x14ac:dyDescent="0.3">
      <c r="B2" s="2" t="s">
        <v>0</v>
      </c>
      <c r="C2" s="2" t="s">
        <v>11</v>
      </c>
      <c r="D2" s="2" t="s">
        <v>16</v>
      </c>
      <c r="E2" s="2" t="s">
        <v>22</v>
      </c>
      <c r="F2" s="2" t="s">
        <v>15</v>
      </c>
      <c r="G2" s="2" t="s">
        <v>23</v>
      </c>
      <c r="H2" s="2" t="s">
        <v>17</v>
      </c>
      <c r="I2" s="2" t="s">
        <v>60</v>
      </c>
      <c r="J2" s="2" t="s">
        <v>20</v>
      </c>
    </row>
    <row r="3" spans="1:10" x14ac:dyDescent="0.3">
      <c r="B3" s="1" t="s">
        <v>1</v>
      </c>
      <c r="C3" s="5">
        <v>1</v>
      </c>
      <c r="D3" s="5">
        <v>1</v>
      </c>
      <c r="E3" s="5">
        <v>0</v>
      </c>
      <c r="F3" s="5">
        <v>1</v>
      </c>
      <c r="G3" s="5">
        <v>2</v>
      </c>
      <c r="H3" s="5">
        <v>1</v>
      </c>
      <c r="I3" s="5">
        <v>1</v>
      </c>
      <c r="J3" s="5">
        <v>1</v>
      </c>
    </row>
    <row r="4" spans="1:10" x14ac:dyDescent="0.3">
      <c r="B4" s="7" t="s">
        <v>28</v>
      </c>
      <c r="C4" s="8">
        <f>VLOOKUP($A$1,[1]resultados_proyectados_proporci!$A$1:$AA$29,MATCH(C$2,[1]resultados_proyectados_proporci!$A$1:$AA$1,0),FALSE)</f>
        <v>0.137430792931168</v>
      </c>
      <c r="D4" s="8">
        <f>VLOOKUP($A$1,[1]resultados_proyectados_proporci!$A$1:$AA$29,MATCH(D$2,[1]resultados_proyectados_proporci!$A$1:$AA$1,0),FALSE)</f>
        <v>2.7083279187661801E-2</v>
      </c>
      <c r="E4" s="8">
        <f>VLOOKUP($A$1,[1]resultados_proyectados_proporci!$A$1:$AA$29,MATCH(E$2,[1]resultados_proyectados_proporci!$A$1:$AA$1,0),FALSE)</f>
        <v>3.67525983691857E-2</v>
      </c>
      <c r="F4" s="8">
        <f>VLOOKUP($A$1,[1]resultados_proyectados_proporci!$A$1:$AA$29,MATCH(F$2,[1]resultados_proyectados_proporci!$A$1:$AA$1,0),FALSE)</f>
        <v>7.6131068958384396E-2</v>
      </c>
      <c r="G4" s="8">
        <f>VLOOKUP($A$1,[1]resultados_proyectados_proporci!$A$1:$AA$29,MATCH(G$2,[1]resultados_proyectados_proporci!$A$1:$AA$1,0),FALSE)</f>
        <v>5.5893286091012399E-2</v>
      </c>
      <c r="H4" s="8">
        <f>VLOOKUP($A$1,[1]resultados_proyectados_proporci!$A$1:$AA$29,MATCH(H$2,[1]resultados_proyectados_proporci!$A$1:$AA$1,0),FALSE)</f>
        <v>7.1385771977238499E-2</v>
      </c>
      <c r="I4" s="8">
        <f>VLOOKUP($A$1,[1]resultados_proyectados_proporci!$A$1:$AA$29,MATCH(I$2,[1]resultados_proyectados_proporci!$A$1:$AA$1,0),FALSE)</f>
        <v>0.13611776781457799</v>
      </c>
      <c r="J4" s="8">
        <f>VLOOKUP($A$1,[1]resultados_proyectados_proporci!$A$1:$AA$29,MATCH(J$2,[1]resultados_proyectados_proporci!$A$1:$AA$1,0),FALSE)</f>
        <v>3.9819587215948797E-2</v>
      </c>
    </row>
    <row r="5" spans="1:10" x14ac:dyDescent="0.3">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row>
    <row r="6" spans="1:10" x14ac:dyDescent="0.3">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1</v>
      </c>
    </row>
    <row r="7" spans="1:10" x14ac:dyDescent="0.3">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row>
    <row r="8" spans="1:10" x14ac:dyDescent="0.3">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1</v>
      </c>
    </row>
    <row r="9" spans="1:10" x14ac:dyDescent="0.3">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1</v>
      </c>
    </row>
    <row r="10" spans="1:10" x14ac:dyDescent="0.3">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1</v>
      </c>
    </row>
    <row r="11" spans="1:10" x14ac:dyDescent="0.3">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1</v>
      </c>
    </row>
    <row r="12" spans="1:10" x14ac:dyDescent="0.3">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1</v>
      </c>
    </row>
    <row r="13" spans="1:10" x14ac:dyDescent="0.3">
      <c r="B13" s="1" t="s">
        <v>77</v>
      </c>
      <c r="C13" s="6">
        <f>VLOOKUP($A$1,[10]resultados_integracion_partido_!$A$1:$AA$29,MATCH(C$2,[10]resultados_integracion_partido_!$A$1:$AA$1,0),FALSE)</f>
        <v>3</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1</v>
      </c>
      <c r="J13" s="6">
        <f>VLOOKUP($A$1,[10]resultados_integracion_partido_!$A$1:$AA$29,MATCH(J$2,[10]resultados_integracion_partido_!$A$1:$AA$1,0),FALSE)</f>
        <v>1</v>
      </c>
    </row>
    <row r="14" spans="1:10" x14ac:dyDescent="0.3">
      <c r="B14" s="1" t="s">
        <v>78</v>
      </c>
      <c r="C14" s="6">
        <f>VLOOKUP($A$1,[11]resultados_integracion_partido_!$A$1:$AA$29,MATCH(C$2,[11]resultados_integracion_partido_!$A$1:$AA$1,0),FALSE)</f>
        <v>3</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1</v>
      </c>
      <c r="G14" s="6">
        <f>VLOOKUP($A$1,[11]resultados_integracion_partido_!$A$1:$AA$29,MATCH(G$2,[11]resultados_integracion_partido_!$A$1:$AA$1,0),FALSE)</f>
        <v>0</v>
      </c>
      <c r="H14" s="6">
        <f>VLOOKUP($A$1,[11]resultados_integracion_partido_!$A$1:$AA$29,MATCH(H$2,[11]resultados_integracion_partido_!$A$1:$AA$1,0),FALSE)</f>
        <v>1</v>
      </c>
      <c r="I14" s="6">
        <f>VLOOKUP($A$1,[11]resultados_integracion_partido_!$A$1:$AA$29,MATCH(I$2,[11]resultados_integracion_partido_!$A$1:$AA$1,0),FALSE)</f>
        <v>2</v>
      </c>
      <c r="J14" s="6">
        <f>VLOOKUP($A$1,[11]resultados_integracion_partido_!$A$1:$AA$29,MATCH(J$2,[11]resultados_integracion_partido_!$A$1:$AA$1,0),FALSE)</f>
        <v>1</v>
      </c>
    </row>
    <row r="15" spans="1:10" ht="15" thickBot="1" x14ac:dyDescent="0.35"/>
    <row r="16" spans="1:10" ht="14.55" customHeight="1" x14ac:dyDescent="0.3">
      <c r="B16" s="35" t="s">
        <v>69</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16.55"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1193-B282-4C78-B1F9-98CD94BECEC3}">
  <dimension ref="A1:K25"/>
  <sheetViews>
    <sheetView showGridLines="0" topLeftCell="A17" workbookViewId="0">
      <selection activeCell="M25" sqref="M25"/>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6.88671875" customWidth="1"/>
    <col min="11" max="11" width="5.88671875" bestFit="1" customWidth="1"/>
    <col min="13" max="13" width="16.21875" customWidth="1"/>
    <col min="14" max="14" width="47.6640625" customWidth="1"/>
  </cols>
  <sheetData>
    <row r="1" spans="1:11" x14ac:dyDescent="0.3">
      <c r="A1" s="30">
        <v>8</v>
      </c>
    </row>
    <row r="2" spans="1:11" x14ac:dyDescent="0.3">
      <c r="B2" s="2" t="s">
        <v>0</v>
      </c>
      <c r="C2" s="2" t="s">
        <v>11</v>
      </c>
      <c r="D2" s="2" t="s">
        <v>16</v>
      </c>
      <c r="E2" s="2" t="s">
        <v>22</v>
      </c>
      <c r="F2" s="2" t="s">
        <v>15</v>
      </c>
      <c r="G2" s="2" t="s">
        <v>23</v>
      </c>
      <c r="H2" s="2" t="s">
        <v>17</v>
      </c>
      <c r="I2" s="2" t="s">
        <v>60</v>
      </c>
      <c r="J2" s="2" t="s">
        <v>21</v>
      </c>
      <c r="K2" s="2" t="s">
        <v>20</v>
      </c>
    </row>
    <row r="3" spans="1:11" x14ac:dyDescent="0.3">
      <c r="B3" s="1" t="s">
        <v>1</v>
      </c>
      <c r="C3" s="5">
        <v>1</v>
      </c>
      <c r="D3" s="5">
        <v>1</v>
      </c>
      <c r="E3" s="5">
        <v>0</v>
      </c>
      <c r="F3" s="5">
        <v>0</v>
      </c>
      <c r="G3" s="5">
        <v>2</v>
      </c>
      <c r="H3" s="5">
        <v>1</v>
      </c>
      <c r="I3" s="5">
        <v>1</v>
      </c>
      <c r="J3" s="5">
        <v>1</v>
      </c>
      <c r="K3" s="5">
        <v>1</v>
      </c>
    </row>
    <row r="4" spans="1:11" x14ac:dyDescent="0.3">
      <c r="B4" s="7" t="s">
        <v>28</v>
      </c>
      <c r="C4" s="8">
        <f>VLOOKUP($A$1,[12]resultados_proyectados_proporci!$A$1:$AA$29,MATCH(C$2,[12]resultados_proyectados_proporci!$A$1:$AA$1,0),FALSE)</f>
        <v>0.137276543372437</v>
      </c>
      <c r="D4" s="8">
        <f>VLOOKUP($A$1,[12]resultados_proyectados_proporci!$A$1:$AA$29,MATCH(D$2,[12]resultados_proyectados_proporci!$A$1:$AA$1,0),FALSE)</f>
        <v>2.72213274411598E-2</v>
      </c>
      <c r="E4" s="8">
        <f>VLOOKUP($A$1,[12]resultados_proyectados_proporci!$A$1:$AA$29,MATCH(E$2,[12]resultados_proyectados_proporci!$A$1:$AA$1,0),FALSE)</f>
        <v>3.5892942434443201E-2</v>
      </c>
      <c r="F4" s="8">
        <f>VLOOKUP($A$1,[12]resultados_proyectados_proporci!$A$1:$AA$29,MATCH(F$2,[12]resultados_proyectados_proporci!$A$1:$AA$1,0),FALSE)</f>
        <v>7.1687039662798602E-2</v>
      </c>
      <c r="G4" s="8">
        <f>VLOOKUP($A$1,[12]resultados_proyectados_proporci!$A$1:$AA$29,MATCH(G$2,[12]resultados_proyectados_proporci!$A$1:$AA$1,0),FALSE)</f>
        <v>5.7095239140274999E-2</v>
      </c>
      <c r="H4" s="8">
        <f>VLOOKUP($A$1,[12]resultados_proyectados_proporci!$A$1:$AA$29,MATCH(H$2,[12]resultados_proyectados_proporci!$A$1:$AA$1,0),FALSE)</f>
        <v>7.2019616312884699E-2</v>
      </c>
      <c r="I4" s="8">
        <f>VLOOKUP($A$1,[12]resultados_proyectados_proporci!$A$1:$AA$29,MATCH(I$2,[12]resultados_proyectados_proporci!$A$1:$AA$1,0),FALSE)</f>
        <v>0.136010825155855</v>
      </c>
      <c r="J4" s="8">
        <f>VLOOKUP($A$1,[12]resultados_proyectados_proporci!$A$1:$AA$29,MATCH(J$2,[12]resultados_proyectados_proporci!$A$1:$AA$1,0),FALSE)</f>
        <v>2.7566750399618301E-2</v>
      </c>
      <c r="K4" s="8">
        <f>VLOOKUP($A$1,[12]resultados_proyectados_proporci!$A$1:$AA$29,MATCH(K$2,[12]resultados_proyectados_proporci!$A$1:$AA$1,0),FALSE)</f>
        <v>4.0093506851275197E-2</v>
      </c>
    </row>
    <row r="5" spans="1:11" x14ac:dyDescent="0.3">
      <c r="B5" s="1" t="s">
        <v>2</v>
      </c>
      <c r="C5" s="6">
        <f>VLOOKUP($A$1,[13]resultados_integracion_partido_!$A$1:$AA$29,MATCH(C$2,[13]resultados_integracion_partido_!$A$1:$AA$1,0),FALSE)</f>
        <v>3</v>
      </c>
      <c r="D5" s="6">
        <f>VLOOKUP($A$1,[13]resultados_integracion_partido_!$A$1:$AA$29,MATCH(D$2,[13]resultados_integracion_partido_!$A$1:$AA$1,0),FALSE)</f>
        <v>0</v>
      </c>
      <c r="E5" s="6">
        <f>VLOOKUP($A$1,[13]resultados_integracion_partido_!$A$1:$AA$29,MATCH(E$2,[13]resultados_integracion_partido_!$A$1:$AA$1,0),FALSE)</f>
        <v>0</v>
      </c>
      <c r="F5" s="6">
        <f>VLOOKUP($A$1,[13]resultados_integracion_partido_!$A$1:$AA$29,MATCH(F$2,[13]resultados_integracion_partido_!$A$1:$AA$1,0),FALSE)</f>
        <v>1</v>
      </c>
      <c r="G5" s="6">
        <f>VLOOKUP($A$1,[13]resultados_integracion_partido_!$A$1:$AA$29,MATCH(G$2,[13]resultados_integracion_partido_!$A$1:$AA$1,0),FALSE)</f>
        <v>1</v>
      </c>
      <c r="H5" s="6">
        <f>VLOOKUP($A$1,[13]resultados_integracion_partido_!$A$1:$AA$29,MATCH(H$2,[13]resultados_integracion_partido_!$A$1:$AA$1,0),FALSE)</f>
        <v>1</v>
      </c>
      <c r="I5" s="6">
        <f>VLOOKUP($A$1,[13]resultados_integracion_partido_!$A$1:$AA$29,MATCH(I$2,[13]resultados_integracion_partido_!$A$1:$AA$1,0),FALSE)</f>
        <v>2</v>
      </c>
      <c r="J5" s="6">
        <f>VLOOKUP($A$1,[13]resultados_integracion_partido_!$A$1:$AA$29,MATCH(J$2,[13]resultados_integracion_partido_!$A$1:$AA$1,0),FALSE)</f>
        <v>0</v>
      </c>
      <c r="K5" s="6">
        <f>VLOOKUP($A$1,[13]resultados_integracion_partido_!$A$1:$AA$29,MATCH(K$2,[13]resultados_integracion_partido_!$A$1:$AA$1,0),FALSE)</f>
        <v>0</v>
      </c>
    </row>
    <row r="6" spans="1:11" x14ac:dyDescent="0.3">
      <c r="B6" s="1" t="s">
        <v>3</v>
      </c>
      <c r="C6" s="6">
        <f>VLOOKUP($A$1,[14]resultados_integracion_partido_!$A$1:$AA$29,MATCH(C$2,[14]resultados_integracion_partido_!$A$1:$AA$1,0),FALSE)</f>
        <v>2</v>
      </c>
      <c r="D6" s="6">
        <f>VLOOKUP($A$1,[14]resultados_integracion_partido_!$A$1:$AA$29,MATCH(D$2,[14]resultados_integracion_partido_!$A$1:$AA$1,0),FALSE)</f>
        <v>0</v>
      </c>
      <c r="E6" s="6">
        <f>VLOOKUP($A$1,[14]resultados_integracion_partido_!$A$1:$AA$29,MATCH(E$2,[14]resultados_integracion_partido_!$A$1:$AA$1,0),FALSE)</f>
        <v>1</v>
      </c>
      <c r="F6" s="6">
        <f>VLOOKUP($A$1,[14]resultados_integracion_partido_!$A$1:$AA$29,MATCH(F$2,[14]resultados_integracion_partido_!$A$1:$AA$1,0),FALSE)</f>
        <v>1</v>
      </c>
      <c r="G6" s="6">
        <f>VLOOKUP($A$1,[14]resultados_integracion_partido_!$A$1:$AA$29,MATCH(G$2,[14]resultados_integracion_partido_!$A$1:$AA$1,0),FALSE)</f>
        <v>0</v>
      </c>
      <c r="H6" s="6">
        <f>VLOOKUP($A$1,[14]resultados_integracion_partido_!$A$1:$AA$29,MATCH(H$2,[14]resultados_integracion_partido_!$A$1:$AA$1,0),FALSE)</f>
        <v>1</v>
      </c>
      <c r="I6" s="6">
        <f>VLOOKUP($A$1,[14]resultados_integracion_partido_!$A$1:$AA$29,MATCH(I$2,[14]resultados_integracion_partido_!$A$1:$AA$1,0),FALSE)</f>
        <v>2</v>
      </c>
      <c r="J6" s="6">
        <f>VLOOKUP($A$1,[14]resultados_integracion_partido_!$A$1:$AA$29,MATCH(J$2,[14]resultados_integracion_partido_!$A$1:$AA$1,0),FALSE)</f>
        <v>0</v>
      </c>
      <c r="K6" s="6">
        <f>VLOOKUP($A$1,[14]resultados_integracion_partido_!$A$1:$AA$29,MATCH(K$2,[14]resultados_integracion_partido_!$A$1:$AA$1,0),FALSE)</f>
        <v>1</v>
      </c>
    </row>
    <row r="7" spans="1:11" x14ac:dyDescent="0.3">
      <c r="B7" s="1" t="s">
        <v>4</v>
      </c>
      <c r="C7" s="6">
        <f>VLOOKUP($A$1,[15]resultados_integracion_partido_!$A$1:$AA$29,MATCH(C$2,[15]resultados_integracion_partido_!$A$1:$AA$1,0),FALSE)</f>
        <v>2</v>
      </c>
      <c r="D7" s="6">
        <f>VLOOKUP($A$1,[15]resultados_integracion_partido_!$A$1:$AA$29,MATCH(D$2,[15]resultados_integracion_partido_!$A$1:$AA$1,0),FALSE)</f>
        <v>0</v>
      </c>
      <c r="E7" s="6">
        <f>VLOOKUP($A$1,[15]resultados_integracion_partido_!$A$1:$AA$29,MATCH(E$2,[15]resultados_integracion_partido_!$A$1:$AA$1,0),FALSE)</f>
        <v>0</v>
      </c>
      <c r="F7" s="6">
        <f>VLOOKUP($A$1,[15]resultados_integracion_partido_!$A$1:$AA$29,MATCH(F$2,[15]resultados_integracion_partido_!$A$1:$AA$1,0),FALSE)</f>
        <v>1</v>
      </c>
      <c r="G7" s="6">
        <f>VLOOKUP($A$1,[15]resultados_integracion_partido_!$A$1:$AA$29,MATCH(G$2,[15]resultados_integracion_partido_!$A$1:$AA$1,0),FALSE)</f>
        <v>1</v>
      </c>
      <c r="H7" s="6">
        <f>VLOOKUP($A$1,[15]resultados_integracion_partido_!$A$1:$AA$29,MATCH(H$2,[15]resultados_integracion_partido_!$A$1:$AA$1,0),FALSE)</f>
        <v>1</v>
      </c>
      <c r="I7" s="6">
        <f>VLOOKUP($A$1,[15]resultados_integracion_partido_!$A$1:$AA$29,MATCH(I$2,[15]resultados_integracion_partido_!$A$1:$AA$1,0),FALSE)</f>
        <v>2</v>
      </c>
      <c r="J7" s="6">
        <f>VLOOKUP($A$1,[15]resultados_integracion_partido_!$A$1:$AA$29,MATCH(J$2,[15]resultados_integracion_partido_!$A$1:$AA$1,0),FALSE)</f>
        <v>0</v>
      </c>
      <c r="K7" s="6">
        <f>VLOOKUP($A$1,[15]resultados_integracion_partido_!$A$1:$AA$29,MATCH(K$2,[15]resultados_integracion_partido_!$A$1:$AA$1,0),FALSE)</f>
        <v>1</v>
      </c>
    </row>
    <row r="8" spans="1:11" x14ac:dyDescent="0.3">
      <c r="B8" s="1" t="s">
        <v>5</v>
      </c>
      <c r="C8" s="6">
        <f>VLOOKUP($A$1,[16]resultados_integracion_partido_!$A$1:$AA$29,MATCH(C$2,[16]resultados_integracion_partido_!$A$1:$AA$1,0),FALSE)</f>
        <v>2</v>
      </c>
      <c r="D8" s="6">
        <f>VLOOKUP($A$1,[16]resultados_integracion_partido_!$A$1:$AA$29,MATCH(D$2,[16]resultados_integracion_partido_!$A$1:$AA$1,0),FALSE)</f>
        <v>0</v>
      </c>
      <c r="E8" s="6">
        <f>VLOOKUP($A$1,[16]resultados_integracion_partido_!$A$1:$AA$29,MATCH(E$2,[16]resultados_integracion_partido_!$A$1:$AA$1,0),FALSE)</f>
        <v>0</v>
      </c>
      <c r="F8" s="6">
        <f>VLOOKUP($A$1,[16]resultados_integracion_partido_!$A$1:$AA$29,MATCH(F$2,[16]resultados_integracion_partido_!$A$1:$AA$1,0),FALSE)</f>
        <v>1</v>
      </c>
      <c r="G8" s="6">
        <f>VLOOKUP($A$1,[16]resultados_integracion_partido_!$A$1:$AA$29,MATCH(G$2,[16]resultados_integracion_partido_!$A$1:$AA$1,0),FALSE)</f>
        <v>1</v>
      </c>
      <c r="H8" s="6">
        <f>VLOOKUP($A$1,[16]resultados_integracion_partido_!$A$1:$AA$29,MATCH(H$2,[16]resultados_integracion_partido_!$A$1:$AA$1,0),FALSE)</f>
        <v>1</v>
      </c>
      <c r="I8" s="6">
        <f>VLOOKUP($A$1,[16]resultados_integracion_partido_!$A$1:$AA$29,MATCH(I$2,[16]resultados_integracion_partido_!$A$1:$AA$1,0),FALSE)</f>
        <v>2</v>
      </c>
      <c r="J8" s="6">
        <f>VLOOKUP($A$1,[16]resultados_integracion_partido_!$A$1:$AA$29,MATCH(J$2,[16]resultados_integracion_partido_!$A$1:$AA$1,0),FALSE)</f>
        <v>0</v>
      </c>
      <c r="K8" s="6">
        <f>VLOOKUP($A$1,[16]resultados_integracion_partido_!$A$1:$AA$29,MATCH(K$2,[16]resultados_integracion_partido_!$A$1:$AA$1,0),FALSE)</f>
        <v>1</v>
      </c>
    </row>
    <row r="9" spans="1:11" x14ac:dyDescent="0.3">
      <c r="B9" s="1" t="s">
        <v>31</v>
      </c>
      <c r="C9" s="6">
        <f>VLOOKUP($A$1,[17]resultados_integracion_partido_!$A$1:$AA$29,MATCH(C$2,[17]resultados_integracion_partido_!$A$1:$AA$1,0),FALSE)</f>
        <v>2</v>
      </c>
      <c r="D9" s="6">
        <f>VLOOKUP($A$1,[17]resultados_integracion_partido_!$A$1:$AA$29,MATCH(D$2,[17]resultados_integracion_partido_!$A$1:$AA$1,0),FALSE)</f>
        <v>0</v>
      </c>
      <c r="E9" s="6">
        <f>VLOOKUP($A$1,[17]resultados_integracion_partido_!$A$1:$AA$29,MATCH(E$2,[17]resultados_integracion_partido_!$A$1:$AA$1,0),FALSE)</f>
        <v>0</v>
      </c>
      <c r="F9" s="6">
        <f>VLOOKUP($A$1,[17]resultados_integracion_partido_!$A$1:$AA$29,MATCH(F$2,[17]resultados_integracion_partido_!$A$1:$AA$1,0),FALSE)</f>
        <v>1</v>
      </c>
      <c r="G9" s="6">
        <f>VLOOKUP($A$1,[17]resultados_integracion_partido_!$A$1:$AA$29,MATCH(G$2,[17]resultados_integracion_partido_!$A$1:$AA$1,0),FALSE)</f>
        <v>1</v>
      </c>
      <c r="H9" s="6">
        <f>VLOOKUP($A$1,[17]resultados_integracion_partido_!$A$1:$AA$29,MATCH(H$2,[17]resultados_integracion_partido_!$A$1:$AA$1,0),FALSE)</f>
        <v>1</v>
      </c>
      <c r="I9" s="6">
        <f>VLOOKUP($A$1,[17]resultados_integracion_partido_!$A$1:$AA$29,MATCH(I$2,[17]resultados_integracion_partido_!$A$1:$AA$1,0),FALSE)</f>
        <v>2</v>
      </c>
      <c r="J9" s="6">
        <f>VLOOKUP($A$1,[17]resultados_integracion_partido_!$A$1:$AA$29,MATCH(J$2,[17]resultados_integracion_partido_!$A$1:$AA$1,0),FALSE)</f>
        <v>0</v>
      </c>
      <c r="K9" s="6">
        <f>VLOOKUP($A$1,[17]resultados_integracion_partido_!$A$1:$AA$29,MATCH(K$2,[17]resultados_integracion_partido_!$A$1:$AA$1,0),FALSE)</f>
        <v>1</v>
      </c>
    </row>
    <row r="10" spans="1:11" x14ac:dyDescent="0.3">
      <c r="B10" s="1" t="s">
        <v>32</v>
      </c>
      <c r="C10" s="6">
        <f>VLOOKUP($A$1,[18]resultados_integracion_partido_!$A$1:$AA$29,MATCH(C$2,[18]resultados_integracion_partido_!$A$1:$AA$1,0),FALSE)</f>
        <v>2</v>
      </c>
      <c r="D10" s="6">
        <f>VLOOKUP($A$1,[18]resultados_integracion_partido_!$A$1:$AA$29,MATCH(D$2,[18]resultados_integracion_partido_!$A$1:$AA$1,0),FALSE)</f>
        <v>0</v>
      </c>
      <c r="E10" s="6">
        <f>VLOOKUP($A$1,[18]resultados_integracion_partido_!$A$1:$AA$29,MATCH(E$2,[18]resultados_integracion_partido_!$A$1:$AA$1,0),FALSE)</f>
        <v>0</v>
      </c>
      <c r="F10" s="6">
        <f>VLOOKUP($A$1,[18]resultados_integracion_partido_!$A$1:$AA$29,MATCH(F$2,[18]resultados_integracion_partido_!$A$1:$AA$1,0),FALSE)</f>
        <v>1</v>
      </c>
      <c r="G10" s="6">
        <f>VLOOKUP($A$1,[18]resultados_integracion_partido_!$A$1:$AA$29,MATCH(G$2,[18]resultados_integracion_partido_!$A$1:$AA$1,0),FALSE)</f>
        <v>1</v>
      </c>
      <c r="H10" s="6">
        <f>VLOOKUP($A$1,[18]resultados_integracion_partido_!$A$1:$AA$29,MATCH(H$2,[18]resultados_integracion_partido_!$A$1:$AA$1,0),FALSE)</f>
        <v>1</v>
      </c>
      <c r="I10" s="6">
        <f>VLOOKUP($A$1,[18]resultados_integracion_partido_!$A$1:$AA$29,MATCH(I$2,[18]resultados_integracion_partido_!$A$1:$AA$1,0),FALSE)</f>
        <v>2</v>
      </c>
      <c r="J10" s="6">
        <f>VLOOKUP($A$1,[18]resultados_integracion_partido_!$A$1:$AA$29,MATCH(J$2,[18]resultados_integracion_partido_!$A$1:$AA$1,0),FALSE)</f>
        <v>0</v>
      </c>
      <c r="K10" s="6">
        <f>VLOOKUP($A$1,[18]resultados_integracion_partido_!$A$1:$AA$29,MATCH(K$2,[18]resultados_integracion_partido_!$A$1:$AA$1,0),FALSE)</f>
        <v>1</v>
      </c>
    </row>
    <row r="11" spans="1:11" x14ac:dyDescent="0.3">
      <c r="B11" s="1" t="s">
        <v>33</v>
      </c>
      <c r="C11" s="6">
        <f>VLOOKUP($A$1,[19]resultados_integracion_partido_!$A$1:$AA$29,MATCH(C$2,[19]resultados_integracion_partido_!$A$1:$AA$1,0),FALSE)</f>
        <v>2</v>
      </c>
      <c r="D11" s="6">
        <f>VLOOKUP($A$1,[19]resultados_integracion_partido_!$A$1:$AA$29,MATCH(D$2,[19]resultados_integracion_partido_!$A$1:$AA$1,0),FALSE)</f>
        <v>0</v>
      </c>
      <c r="E11" s="6">
        <f>VLOOKUP($A$1,[19]resultados_integracion_partido_!$A$1:$AA$29,MATCH(E$2,[19]resultados_integracion_partido_!$A$1:$AA$1,0),FALSE)</f>
        <v>0</v>
      </c>
      <c r="F11" s="6">
        <f>VLOOKUP($A$1,[19]resultados_integracion_partido_!$A$1:$AA$29,MATCH(F$2,[19]resultados_integracion_partido_!$A$1:$AA$1,0),FALSE)</f>
        <v>1</v>
      </c>
      <c r="G11" s="6">
        <f>VLOOKUP($A$1,[19]resultados_integracion_partido_!$A$1:$AA$29,MATCH(G$2,[19]resultados_integracion_partido_!$A$1:$AA$1,0),FALSE)</f>
        <v>1</v>
      </c>
      <c r="H11" s="6">
        <f>VLOOKUP($A$1,[19]resultados_integracion_partido_!$A$1:$AA$29,MATCH(H$2,[19]resultados_integracion_partido_!$A$1:$AA$1,0),FALSE)</f>
        <v>1</v>
      </c>
      <c r="I11" s="6">
        <f>VLOOKUP($A$1,[19]resultados_integracion_partido_!$A$1:$AA$29,MATCH(I$2,[19]resultados_integracion_partido_!$A$1:$AA$1,0),FALSE)</f>
        <v>2</v>
      </c>
      <c r="J11" s="6">
        <f>VLOOKUP($A$1,[19]resultados_integracion_partido_!$A$1:$AA$29,MATCH(J$2,[19]resultados_integracion_partido_!$A$1:$AA$1,0),FALSE)</f>
        <v>0</v>
      </c>
      <c r="K11" s="6">
        <f>VLOOKUP($A$1,[19]resultados_integracion_partido_!$A$1:$AA$29,MATCH(K$2,[19]resultados_integracion_partido_!$A$1:$AA$1,0),FALSE)</f>
        <v>1</v>
      </c>
    </row>
    <row r="12" spans="1:11" x14ac:dyDescent="0.3">
      <c r="B12" s="1" t="s">
        <v>34</v>
      </c>
      <c r="C12" s="6">
        <f>VLOOKUP($A$1,[20]resultados_integracion_partido_!$A$1:$AA$29,MATCH(C$2,[20]resultados_integracion_partido_!$A$1:$AA$1,0),FALSE)</f>
        <v>2</v>
      </c>
      <c r="D12" s="6">
        <f>VLOOKUP($A$1,[20]resultados_integracion_partido_!$A$1:$AA$29,MATCH(D$2,[20]resultados_integracion_partido_!$A$1:$AA$1,0),FALSE)</f>
        <v>0</v>
      </c>
      <c r="E12" s="6">
        <f>VLOOKUP($A$1,[20]resultados_integracion_partido_!$A$1:$AA$29,MATCH(E$2,[20]resultados_integracion_partido_!$A$1:$AA$1,0),FALSE)</f>
        <v>0</v>
      </c>
      <c r="F12" s="6">
        <f>VLOOKUP($A$1,[20]resultados_integracion_partido_!$A$1:$AA$29,MATCH(F$2,[20]resultados_integracion_partido_!$A$1:$AA$1,0),FALSE)</f>
        <v>1</v>
      </c>
      <c r="G12" s="6">
        <f>VLOOKUP($A$1,[20]resultados_integracion_partido_!$A$1:$AA$29,MATCH(G$2,[20]resultados_integracion_partido_!$A$1:$AA$1,0),FALSE)</f>
        <v>1</v>
      </c>
      <c r="H12" s="6">
        <f>VLOOKUP($A$1,[20]resultados_integracion_partido_!$A$1:$AA$29,MATCH(H$2,[20]resultados_integracion_partido_!$A$1:$AA$1,0),FALSE)</f>
        <v>1</v>
      </c>
      <c r="I12" s="6">
        <f>VLOOKUP($A$1,[20]resultados_integracion_partido_!$A$1:$AA$29,MATCH(I$2,[20]resultados_integracion_partido_!$A$1:$AA$1,0),FALSE)</f>
        <v>2</v>
      </c>
      <c r="J12" s="6">
        <f>VLOOKUP($A$1,[20]resultados_integracion_partido_!$A$1:$AA$29,MATCH(J$2,[20]resultados_integracion_partido_!$A$1:$AA$1,0),FALSE)</f>
        <v>0</v>
      </c>
      <c r="K12" s="6">
        <f>VLOOKUP($A$1,[20]resultados_integracion_partido_!$A$1:$AA$29,MATCH(K$2,[20]resultados_integracion_partido_!$A$1:$AA$1,0),FALSE)</f>
        <v>1</v>
      </c>
    </row>
    <row r="13" spans="1:11" x14ac:dyDescent="0.3">
      <c r="B13" s="1" t="s">
        <v>77</v>
      </c>
      <c r="C13" s="6">
        <f>VLOOKUP($A$1,[21]resultados_integracion_partido_!$A$1:$AA$29,MATCH(C$2,[21]resultados_integracion_partido_!$A$1:$AA$1,0),FALSE)</f>
        <v>3</v>
      </c>
      <c r="D13" s="6">
        <f>VLOOKUP($A$1,[21]resultados_integracion_partido_!$A$1:$AA$29,MATCH(D$2,[21]resultados_integracion_partido_!$A$1:$AA$1,0),FALSE)</f>
        <v>0</v>
      </c>
      <c r="E13" s="6">
        <f>VLOOKUP($A$1,[21]resultados_integracion_partido_!$A$1:$AA$29,MATCH(E$2,[21]resultados_integracion_partido_!$A$1:$AA$1,0),FALSE)</f>
        <v>0</v>
      </c>
      <c r="F13" s="6">
        <f>VLOOKUP($A$1,[21]resultados_integracion_partido_!$A$1:$AA$29,MATCH(F$2,[21]resultados_integracion_partido_!$A$1:$AA$1,0),FALSE)</f>
        <v>1</v>
      </c>
      <c r="G13" s="6">
        <f>VLOOKUP($A$1,[21]resultados_integracion_partido_!$A$1:$AA$29,MATCH(G$2,[21]resultados_integracion_partido_!$A$1:$AA$1,0),FALSE)</f>
        <v>1</v>
      </c>
      <c r="H13" s="6">
        <f>VLOOKUP($A$1,[21]resultados_integracion_partido_!$A$1:$AA$29,MATCH(H$2,[21]resultados_integracion_partido_!$A$1:$AA$1,0),FALSE)</f>
        <v>1</v>
      </c>
      <c r="I13" s="6">
        <f>VLOOKUP($A$1,[21]resultados_integracion_partido_!$A$1:$AA$29,MATCH(I$2,[21]resultados_integracion_partido_!$A$1:$AA$1,0),FALSE)</f>
        <v>1</v>
      </c>
      <c r="J13" s="6">
        <f>VLOOKUP($A$1,[21]resultados_integracion_partido_!$A$1:$AA$29,MATCH(J$2,[21]resultados_integracion_partido_!$A$1:$AA$1,0),FALSE)</f>
        <v>0</v>
      </c>
      <c r="K13" s="6">
        <f>VLOOKUP($A$1,[21]resultados_integracion_partido_!$A$1:$AA$29,MATCH(K$2,[21]resultados_integracion_partido_!$A$1:$AA$1,0),FALSE)</f>
        <v>1</v>
      </c>
    </row>
    <row r="14" spans="1:11" x14ac:dyDescent="0.3">
      <c r="B14" s="1" t="s">
        <v>78</v>
      </c>
      <c r="C14" s="6">
        <f>VLOOKUP($A$1,[22]resultados_integracion_partido_!$A$1:$AA$29,MATCH(C$2,[22]resultados_integracion_partido_!$A$1:$AA$1,0),FALSE)</f>
        <v>3</v>
      </c>
      <c r="D14" s="6">
        <f>VLOOKUP($A$1,[22]resultados_integracion_partido_!$A$1:$AA$29,MATCH(D$2,[22]resultados_integracion_partido_!$A$1:$AA$1,0),FALSE)</f>
        <v>0</v>
      </c>
      <c r="E14" s="6">
        <f>VLOOKUP($A$1,[22]resultados_integracion_partido_!$A$1:$AA$29,MATCH(E$2,[22]resultados_integracion_partido_!$A$1:$AA$1,0),FALSE)</f>
        <v>0</v>
      </c>
      <c r="F14" s="6">
        <f>VLOOKUP($A$1,[22]resultados_integracion_partido_!$A$1:$AA$29,MATCH(F$2,[22]resultados_integracion_partido_!$A$1:$AA$1,0),FALSE)</f>
        <v>1</v>
      </c>
      <c r="G14" s="6">
        <f>VLOOKUP($A$1,[22]resultados_integracion_partido_!$A$1:$AA$29,MATCH(G$2,[22]resultados_integracion_partido_!$A$1:$AA$1,0),FALSE)</f>
        <v>0</v>
      </c>
      <c r="H14" s="6">
        <f>VLOOKUP($A$1,[22]resultados_integracion_partido_!$A$1:$AA$29,MATCH(H$2,[22]resultados_integracion_partido_!$A$1:$AA$1,0),FALSE)</f>
        <v>1</v>
      </c>
      <c r="I14" s="6">
        <f>VLOOKUP($A$1,[22]resultados_integracion_partido_!$A$1:$AA$29,MATCH(I$2,[22]resultados_integracion_partido_!$A$1:$AA$1,0),FALSE)</f>
        <v>2</v>
      </c>
      <c r="J14" s="6">
        <f>VLOOKUP($A$1,[22]resultados_integracion_partido_!$A$1:$AA$29,MATCH(J$2,[22]resultados_integracion_partido_!$A$1:$AA$1,0),FALSE)</f>
        <v>0</v>
      </c>
      <c r="K14" s="6">
        <f>VLOOKUP($A$1,[22]resultados_integracion_partido_!$A$1:$AA$29,MATCH(K$2,[22]resultados_integracion_partido_!$A$1:$AA$1,0),FALSE)</f>
        <v>1</v>
      </c>
    </row>
    <row r="15" spans="1:11" ht="15" thickBot="1" x14ac:dyDescent="0.35"/>
    <row r="16" spans="1:11" ht="14.55" customHeight="1" x14ac:dyDescent="0.3">
      <c r="B16" s="35" t="s">
        <v>80</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16.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5"/>
  <sheetViews>
    <sheetView showGridLines="0" workbookViewId="0">
      <selection activeCell="L3" sqref="L3:L14"/>
    </sheetView>
  </sheetViews>
  <sheetFormatPr baseColWidth="10" defaultRowHeight="14.4" x14ac:dyDescent="0.3"/>
  <cols>
    <col min="1" max="1" width="1.88671875" bestFit="1" customWidth="1"/>
    <col min="2" max="2" width="19.33203125" bestFit="1" customWidth="1"/>
    <col min="3" max="8" width="5.88671875" bestFit="1" customWidth="1"/>
    <col min="9" max="9" width="6.109375" bestFit="1" customWidth="1"/>
    <col min="10" max="10" width="6.109375" customWidth="1"/>
    <col min="11" max="11" width="5.88671875" bestFit="1" customWidth="1"/>
    <col min="13" max="13" width="16.21875" customWidth="1"/>
    <col min="14" max="14" width="46.109375" customWidth="1"/>
  </cols>
  <sheetData>
    <row r="1" spans="1:11" x14ac:dyDescent="0.3">
      <c r="A1" s="30">
        <v>9</v>
      </c>
    </row>
    <row r="2" spans="1:11" x14ac:dyDescent="0.3">
      <c r="B2" s="2" t="s">
        <v>0</v>
      </c>
      <c r="C2" s="2" t="s">
        <v>11</v>
      </c>
      <c r="D2" s="2" t="s">
        <v>61</v>
      </c>
      <c r="E2" s="2" t="s">
        <v>14</v>
      </c>
      <c r="F2" s="2" t="s">
        <v>22</v>
      </c>
      <c r="G2" s="2" t="s">
        <v>15</v>
      </c>
      <c r="H2" s="2" t="s">
        <v>23</v>
      </c>
      <c r="I2" s="2" t="s">
        <v>17</v>
      </c>
      <c r="J2" s="2" t="s">
        <v>20</v>
      </c>
      <c r="K2" s="2" t="s">
        <v>60</v>
      </c>
    </row>
    <row r="3" spans="1:11" x14ac:dyDescent="0.3">
      <c r="B3" s="1" t="s">
        <v>1</v>
      </c>
      <c r="C3" s="5">
        <v>2</v>
      </c>
      <c r="D3" s="5">
        <v>1</v>
      </c>
      <c r="E3" s="5">
        <v>0</v>
      </c>
      <c r="F3" s="5">
        <v>0</v>
      </c>
      <c r="G3" s="5">
        <v>1</v>
      </c>
      <c r="H3" s="5">
        <v>0</v>
      </c>
      <c r="I3" s="5">
        <v>2</v>
      </c>
      <c r="J3" s="5">
        <v>0</v>
      </c>
      <c r="K3" s="5">
        <v>1</v>
      </c>
    </row>
    <row r="4" spans="1:11" x14ac:dyDescent="0.3">
      <c r="B4" s="7" t="s">
        <v>29</v>
      </c>
      <c r="C4" s="8">
        <f>VLOOKUP($A$1,[1]resultados_proyectados_proporci!$A$1:$AA$29,MATCH(C$2,[1]resultados_proyectados_proporci!$A$1:$AA$1,0),FALSE)</f>
        <v>7.3330026059404294E-2</v>
      </c>
      <c r="D4" s="8">
        <f>VLOOKUP($A$1,[1]resultados_proyectados_proporci!$A$1:$AA$29,MATCH(D$2,[1]resultados_proyectados_proporci!$A$1:$AA$1,0),FALSE)</f>
        <v>2.92058342013598E-2</v>
      </c>
      <c r="E4" s="8">
        <f>VLOOKUP($A$1,[1]resultados_proyectados_proporci!$A$1:$AA$29,MATCH(E$2,[1]resultados_proyectados_proporci!$A$1:$AA$1,0),FALSE)</f>
        <v>4.2564402779173498E-2</v>
      </c>
      <c r="F4" s="8">
        <f>VLOOKUP($A$1,[1]resultados_proyectados_proporci!$A$1:$AA$29,MATCH(F$2,[1]resultados_proyectados_proporci!$A$1:$AA$1,0),FALSE)</f>
        <v>5.2604797248688301E-2</v>
      </c>
      <c r="G4" s="8">
        <f>VLOOKUP($A$1,[1]resultados_proyectados_proporci!$A$1:$AA$29,MATCH(G$2,[1]resultados_proyectados_proporci!$A$1:$AA$1,0),FALSE)</f>
        <v>9.0234874937722698E-2</v>
      </c>
      <c r="H4" s="8">
        <f>VLOOKUP($A$1,[1]resultados_proyectados_proporci!$A$1:$AA$29,MATCH(H$2,[1]resultados_proyectados_proporci!$A$1:$AA$1,0),FALSE)</f>
        <v>6.3577024123426099E-2</v>
      </c>
      <c r="I4" s="8">
        <f>VLOOKUP($A$1,[1]resultados_proyectados_proporci!$A$1:$AA$29,MATCH(I$2,[1]resultados_proyectados_proporci!$A$1:$AA$1,0),FALSE)</f>
        <v>9.9208381121314707E-2</v>
      </c>
      <c r="J4" s="8">
        <f>VLOOKUP($A$1,[1]resultados_proyectados_proporci!$A$1:$AA$29,MATCH(J$2,[1]resultados_proyectados_proporci!$A$1:$AA$1,0),FALSE)</f>
        <v>2.94376624060258E-2</v>
      </c>
      <c r="K4" s="8">
        <f>VLOOKUP($A$1,[1]resultados_proyectados_proporci!$A$1:$AA$29,MATCH(K$2,[1]resultados_proyectados_proporci!$A$1:$AA$1,0),FALSE)</f>
        <v>9.8662574579824594E-2</v>
      </c>
    </row>
    <row r="5" spans="1:11" x14ac:dyDescent="0.3">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1</v>
      </c>
    </row>
    <row r="6" spans="1:11" x14ac:dyDescent="0.3">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row>
    <row r="7" spans="1:11" x14ac:dyDescent="0.3">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x14ac:dyDescent="0.3">
      <c r="B13" s="1" t="s">
        <v>77</v>
      </c>
      <c r="C13" s="6">
        <f>VLOOKUP($A$1,[10]resultados_integracion_partido_!$A$1:$AA$29,MATCH(C$2,[10]resultados_integracion_partido_!$A$1:$AA$1,0),FALSE)</f>
        <v>1</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2</v>
      </c>
      <c r="J13" s="6">
        <f>VLOOKUP($A$1,[10]resultados_integracion_partido_!$A$1:$AA$29,MATCH(J$2,[10]resultados_integracion_partido_!$A$1:$AA$1,0),FALSE)</f>
        <v>0</v>
      </c>
      <c r="K13" s="6">
        <f>VLOOKUP($A$1,[10]resultados_integracion_partido_!$A$1:$AA$29,MATCH(K$2,[10]resultados_integracion_partido_!$A$1:$AA$1,0),FALSE)</f>
        <v>1</v>
      </c>
    </row>
    <row r="14" spans="1:11" x14ac:dyDescent="0.3">
      <c r="B14" s="1" t="s">
        <v>78</v>
      </c>
      <c r="C14" s="6">
        <f>VLOOKUP($A$1,[11]resultados_integracion_partido_!$A$1:$AA$29,MATCH(C$2,[11]resultados_integracion_partido_!$A$1:$AA$1,0),FALSE)</f>
        <v>1</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2</v>
      </c>
      <c r="J14" s="6">
        <f>VLOOKUP($A$1,[11]resultados_integracion_partido_!$A$1:$AA$29,MATCH(J$2,[11]resultados_integracion_partido_!$A$1:$AA$1,0),FALSE)</f>
        <v>0</v>
      </c>
      <c r="K14" s="6">
        <f>VLOOKUP($A$1,[11]resultados_integracion_partido_!$A$1:$AA$29,MATCH(K$2,[11]resultados_integracion_partido_!$A$1:$AA$1,0),FALSE)</f>
        <v>1</v>
      </c>
    </row>
    <row r="15" spans="1:11" ht="15" thickBot="1" x14ac:dyDescent="0.35"/>
    <row r="16" spans="1:11" ht="14.55" customHeight="1" x14ac:dyDescent="0.3">
      <c r="B16" s="35" t="s">
        <v>68</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16.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5"/>
  <sheetViews>
    <sheetView showGridLines="0" zoomScaleNormal="100" workbookViewId="0">
      <selection activeCell="L3" sqref="L3:L14"/>
    </sheetView>
  </sheetViews>
  <sheetFormatPr baseColWidth="10" defaultRowHeight="14.4" x14ac:dyDescent="0.3"/>
  <cols>
    <col min="1" max="1" width="2.77734375" bestFit="1" customWidth="1"/>
    <col min="2" max="2" width="19.33203125" bestFit="1" customWidth="1"/>
    <col min="3" max="3" width="6.88671875" bestFit="1" customWidth="1"/>
    <col min="4" max="8" width="5.88671875" bestFit="1" customWidth="1"/>
    <col min="9" max="9" width="6.109375" bestFit="1" customWidth="1"/>
    <col min="10" max="10" width="6.109375" customWidth="1"/>
    <col min="11" max="11" width="6.88671875" bestFit="1" customWidth="1"/>
    <col min="13" max="13" width="16.21875" customWidth="1"/>
    <col min="14" max="14" width="45.77734375" customWidth="1"/>
  </cols>
  <sheetData>
    <row r="1" spans="1:11" x14ac:dyDescent="0.3">
      <c r="A1" s="30">
        <v>10</v>
      </c>
    </row>
    <row r="2" spans="1:11" x14ac:dyDescent="0.3">
      <c r="B2" s="2" t="s">
        <v>0</v>
      </c>
      <c r="C2" s="2" t="s">
        <v>11</v>
      </c>
      <c r="D2" s="2" t="s">
        <v>25</v>
      </c>
      <c r="E2" s="2" t="s">
        <v>14</v>
      </c>
      <c r="F2" s="2" t="s">
        <v>22</v>
      </c>
      <c r="G2" s="2" t="s">
        <v>15</v>
      </c>
      <c r="H2" s="2" t="s">
        <v>23</v>
      </c>
      <c r="I2" s="2" t="s">
        <v>17</v>
      </c>
      <c r="J2" s="2" t="s">
        <v>20</v>
      </c>
      <c r="K2" s="2" t="s">
        <v>60</v>
      </c>
    </row>
    <row r="3" spans="1:11" x14ac:dyDescent="0.3">
      <c r="B3" s="1" t="s">
        <v>1</v>
      </c>
      <c r="C3" s="5">
        <v>3</v>
      </c>
      <c r="D3" s="5">
        <v>2</v>
      </c>
      <c r="E3" s="5">
        <v>1</v>
      </c>
      <c r="F3" s="5">
        <v>0</v>
      </c>
      <c r="G3" s="5">
        <v>0</v>
      </c>
      <c r="H3" s="5">
        <v>1</v>
      </c>
      <c r="I3" s="5">
        <v>1</v>
      </c>
      <c r="J3" s="5">
        <v>0</v>
      </c>
      <c r="K3" s="5">
        <v>0</v>
      </c>
    </row>
    <row r="4" spans="1:11" x14ac:dyDescent="0.3">
      <c r="B4" s="7" t="s">
        <v>29</v>
      </c>
      <c r="C4" s="8">
        <f>VLOOKUP($A$1,[1]resultados_proyectados_proporci!$A$1:$AA$29,MATCH(C$2,[1]resultados_proyectados_proporci!$A$1:$AA$1,0),FALSE)</f>
        <v>0.16288281447476899</v>
      </c>
      <c r="D4" s="8">
        <f>VLOOKUP($A$1,[1]resultados_proyectados_proporci!$A$1:$AA$29,MATCH(D$2,[1]resultados_proyectados_proporci!$A$1:$AA$1,0),FALSE)</f>
        <v>2.9646054019570999E-3</v>
      </c>
      <c r="E4" s="8">
        <f>VLOOKUP($A$1,[1]resultados_proyectados_proporci!$A$1:$AA$29,MATCH(E$2,[1]resultados_proyectados_proporci!$A$1:$AA$1,0),FALSE)</f>
        <v>2.28473206831281E-2</v>
      </c>
      <c r="F4" s="8">
        <f>VLOOKUP($A$1,[1]resultados_proyectados_proporci!$A$1:$AA$29,MATCH(F$2,[1]resultados_proyectados_proporci!$A$1:$AA$1,0),FALSE)</f>
        <v>4.7485625584697301E-2</v>
      </c>
      <c r="G4" s="8">
        <f>VLOOKUP($A$1,[1]resultados_proyectados_proporci!$A$1:$AA$29,MATCH(G$2,[1]resultados_proyectados_proporci!$A$1:$AA$1,0),FALSE)</f>
        <v>9.5787612450813103E-2</v>
      </c>
      <c r="H4" s="8">
        <f>VLOOKUP($A$1,[1]resultados_proyectados_proporci!$A$1:$AA$29,MATCH(H$2,[1]resultados_proyectados_proporci!$A$1:$AA$1,0),FALSE)</f>
        <v>7.72769055507882E-2</v>
      </c>
      <c r="I4" s="8">
        <f>VLOOKUP($A$1,[1]resultados_proyectados_proporci!$A$1:$AA$29,MATCH(I$2,[1]resultados_proyectados_proporci!$A$1:$AA$1,0),FALSE)</f>
        <v>9.9070370627614396E-2</v>
      </c>
      <c r="J4" s="8">
        <f>VLOOKUP($A$1,[1]resultados_proyectados_proporci!$A$1:$AA$29,MATCH(J$2,[1]resultados_proyectados_proporci!$A$1:$AA$1,0),FALSE)</f>
        <v>3.4757274078431301E-2</v>
      </c>
      <c r="K4" s="8">
        <f>VLOOKUP($A$1,[1]resultados_proyectados_proporci!$A$1:$AA$29,MATCH(K$2,[1]resultados_proyectados_proporci!$A$1:$AA$1,0),FALSE)</f>
        <v>0.11048659654134101</v>
      </c>
    </row>
    <row r="5" spans="1:11" x14ac:dyDescent="0.3">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2</v>
      </c>
    </row>
    <row r="6" spans="1:11" x14ac:dyDescent="0.3">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2</v>
      </c>
    </row>
    <row r="7" spans="1:11" x14ac:dyDescent="0.3">
      <c r="B7" s="1" t="s">
        <v>4</v>
      </c>
      <c r="C7" s="6">
        <f>VLOOKUP($A$1,[4]resultados_integracion_partido_!$A$1:$AA$29,MATCH(C$2,[4]resultados_integracion_partido_!$A$1:$AA$1,0),FALSE)</f>
        <v>3</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
      <c r="B8" s="1" t="s">
        <v>5</v>
      </c>
      <c r="C8" s="6">
        <f>VLOOKUP($A$1,[5]resultados_integracion_partido_!$A$1:$AA$29,MATCH(C$2,[5]resultados_integracion_partido_!$A$1:$AA$1,0),FALSE)</f>
        <v>3</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
      <c r="B9" s="1" t="s">
        <v>31</v>
      </c>
      <c r="C9" s="6">
        <f>VLOOKUP($A$1,[6]resultados_integracion_partido_!$A$1:$AA$29,MATCH(C$2,[6]resultados_integracion_partido_!$A$1:$AA$1,0),FALSE)</f>
        <v>3</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
      <c r="B10" s="1" t="s">
        <v>32</v>
      </c>
      <c r="C10" s="6">
        <f>VLOOKUP($A$1,[7]resultados_integracion_partido_!$A$1:$AA$29,MATCH(C$2,[7]resultados_integracion_partido_!$A$1:$AA$1,0),FALSE)</f>
        <v>3</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
      <c r="B11" s="1" t="s">
        <v>33</v>
      </c>
      <c r="C11" s="6">
        <f>VLOOKUP($A$1,[8]resultados_integracion_partido_!$A$1:$AA$29,MATCH(C$2,[8]resultados_integracion_partido_!$A$1:$AA$1,0),FALSE)</f>
        <v>3</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
      <c r="B12" s="1" t="s">
        <v>34</v>
      </c>
      <c r="C12" s="6">
        <f>VLOOKUP($A$1,[9]resultados_integracion_partido_!$A$1:$AA$29,MATCH(C$2,[9]resultados_integracion_partido_!$A$1:$AA$1,0),FALSE)</f>
        <v>3</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x14ac:dyDescent="0.3">
      <c r="B13" s="1" t="s">
        <v>77</v>
      </c>
      <c r="C13" s="6">
        <f>VLOOKUP($A$1,[10]resultados_integracion_partido_!$A$1:$AA$29,MATCH(C$2,[10]resultados_integracion_partido_!$A$1:$AA$1,0),FALSE)</f>
        <v>3</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0</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2</v>
      </c>
      <c r="J13" s="6">
        <f>VLOOKUP($A$1,[10]resultados_integracion_partido_!$A$1:$AA$29,MATCH(J$2,[10]resultados_integracion_partido_!$A$1:$AA$1,0),FALSE)</f>
        <v>0</v>
      </c>
      <c r="K13" s="6">
        <f>VLOOKUP($A$1,[10]resultados_integracion_partido_!$A$1:$AA$29,MATCH(K$2,[10]resultados_integracion_partido_!$A$1:$AA$1,0),FALSE)</f>
        <v>1</v>
      </c>
    </row>
    <row r="14" spans="1:11" x14ac:dyDescent="0.3">
      <c r="B14" s="1" t="s">
        <v>78</v>
      </c>
      <c r="C14" s="6">
        <f>VLOOKUP($A$1,[11]resultados_integracion_partido_!$A$1:$AA$29,MATCH(C$2,[11]resultados_integracion_partido_!$A$1:$AA$1,0),FALSE)</f>
        <v>3</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0</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2</v>
      </c>
      <c r="J14" s="6">
        <f>VLOOKUP($A$1,[11]resultados_integracion_partido_!$A$1:$AA$29,MATCH(J$2,[11]resultados_integracion_partido_!$A$1:$AA$1,0),FALSE)</f>
        <v>0</v>
      </c>
      <c r="K14" s="6">
        <f>VLOOKUP($A$1,[11]resultados_integracion_partido_!$A$1:$AA$29,MATCH(K$2,[11]resultados_integracion_partido_!$A$1:$AA$1,0),FALSE)</f>
        <v>1</v>
      </c>
    </row>
    <row r="15" spans="1:11" ht="15" thickBot="1" x14ac:dyDescent="0.35"/>
    <row r="16" spans="1:11" ht="14.55" customHeight="1" x14ac:dyDescent="0.3">
      <c r="B16" s="35" t="s">
        <v>75</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ht="73.95" customHeight="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36"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H25"/>
  <sheetViews>
    <sheetView showGridLines="0" zoomScaleNormal="100" workbookViewId="0">
      <selection activeCell="I3" sqref="I3"/>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10" max="10" width="16.21875" customWidth="1"/>
    <col min="11" max="11" width="44.109375" customWidth="1"/>
  </cols>
  <sheetData>
    <row r="1" spans="1:8" x14ac:dyDescent="0.3">
      <c r="A1" s="30">
        <v>13</v>
      </c>
    </row>
    <row r="2" spans="1:8" x14ac:dyDescent="0.3">
      <c r="B2" s="2" t="s">
        <v>0</v>
      </c>
      <c r="C2" s="2" t="s">
        <v>11</v>
      </c>
      <c r="D2" s="2" t="s">
        <v>22</v>
      </c>
      <c r="E2" s="2" t="s">
        <v>15</v>
      </c>
      <c r="F2" s="2" t="s">
        <v>23</v>
      </c>
      <c r="G2" s="2" t="s">
        <v>17</v>
      </c>
      <c r="H2" s="2" t="s">
        <v>60</v>
      </c>
    </row>
    <row r="3" spans="1:8" x14ac:dyDescent="0.3">
      <c r="B3" s="1" t="s">
        <v>1</v>
      </c>
      <c r="C3" s="5">
        <v>1</v>
      </c>
      <c r="D3" s="5">
        <v>1</v>
      </c>
      <c r="E3" s="5">
        <v>1</v>
      </c>
      <c r="F3" s="5">
        <v>1</v>
      </c>
      <c r="G3" s="5">
        <v>1</v>
      </c>
      <c r="H3" s="5">
        <v>0</v>
      </c>
    </row>
    <row r="4" spans="1:8" x14ac:dyDescent="0.3">
      <c r="B4" s="7" t="s">
        <v>29</v>
      </c>
      <c r="C4" s="8">
        <f>VLOOKUP($A$1,[1]resultados_proyectados_proporci!$A$1:$AA$29,MATCH(C$2,[1]resultados_proyectados_proporci!$A$1:$AA$1,0),FALSE)</f>
        <v>9.0066017788393002E-2</v>
      </c>
      <c r="D4" s="8">
        <f>VLOOKUP($A$1,[1]resultados_proyectados_proporci!$A$1:$AA$29,MATCH(D$2,[1]resultados_proyectados_proporci!$A$1:$AA$1,0),FALSE)</f>
        <v>8.1391535927221606E-2</v>
      </c>
      <c r="E4" s="8">
        <f>VLOOKUP($A$1,[1]resultados_proyectados_proporci!$A$1:$AA$29,MATCH(E$2,[1]resultados_proyectados_proporci!$A$1:$AA$1,0),FALSE)</f>
        <v>9.0351092923415893E-2</v>
      </c>
      <c r="F4" s="8">
        <f>VLOOKUP($A$1,[1]resultados_proyectados_proporci!$A$1:$AA$29,MATCH(F$2,[1]resultados_proyectados_proporci!$A$1:$AA$1,0),FALSE)</f>
        <v>4.5703230876148103E-2</v>
      </c>
      <c r="G4" s="8">
        <f>VLOOKUP($A$1,[1]resultados_proyectados_proporci!$A$1:$AA$29,MATCH(G$2,[1]resultados_proyectados_proporci!$A$1:$AA$1,0),FALSE)</f>
        <v>0.10105248853606499</v>
      </c>
      <c r="H4" s="8">
        <f>VLOOKUP($A$1,[1]resultados_proyectados_proporci!$A$1:$AA$29,MATCH(H$2,[1]resultados_proyectados_proporci!$A$1:$AA$1,0),FALSE)</f>
        <v>9.9342776262546797E-2</v>
      </c>
    </row>
    <row r="5" spans="1:8" x14ac:dyDescent="0.3">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row>
    <row r="6" spans="1:8" x14ac:dyDescent="0.3">
      <c r="B6" s="1" t="s">
        <v>3</v>
      </c>
      <c r="C6" s="6">
        <f>VLOOKUP($A$1,[3]resultados_integracion_partido_!$A$1:$AA$29,MATCH(C$2,[3]resultados_integracion_partido_!$A$1:$AA$1,0),FALSE)</f>
        <v>1</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row>
    <row r="7" spans="1:8" x14ac:dyDescent="0.3">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row>
    <row r="8" spans="1:8" x14ac:dyDescent="0.3">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row>
    <row r="9" spans="1:8" x14ac:dyDescent="0.3">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row>
    <row r="10" spans="1:8" x14ac:dyDescent="0.3">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row>
    <row r="11" spans="1:8" x14ac:dyDescent="0.3">
      <c r="B11" s="1" t="s">
        <v>33</v>
      </c>
      <c r="C11" s="6">
        <f>VLOOKUP($A$1,[8]resultados_integracion_partido_!$A$1:$AA$29,MATCH(C$2,[8]resultados_integracion_partido_!$A$1:$AA$1,0),FALSE)</f>
        <v>1</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row>
    <row r="12" spans="1:8" x14ac:dyDescent="0.3">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row>
    <row r="13" spans="1:8" x14ac:dyDescent="0.3">
      <c r="B13" s="1" t="s">
        <v>77</v>
      </c>
      <c r="C13" s="6">
        <f>VLOOKUP($A$1,[10]resultados_integracion_partido_!$A$1:$AA$29,MATCH(C$2,[10]resultados_integracion_partido_!$A$1:$AA$1,0),FALSE)</f>
        <v>1</v>
      </c>
      <c r="D13" s="6">
        <f>VLOOKUP($A$1,[10]resultados_integracion_partido_!$A$1:$AA$29,MATCH(D$2,[10]resultados_integracion_partido_!$A$1:$AA$1,0),FALSE)</f>
        <v>1</v>
      </c>
      <c r="E13" s="6">
        <f>VLOOKUP($A$1,[10]resultados_integracion_partido_!$A$1:$AA$29,MATCH(E$2,[10]resultados_integracion_partido_!$A$1:$AA$1,0),FALSE)</f>
        <v>1</v>
      </c>
      <c r="F13" s="6">
        <f>VLOOKUP($A$1,[10]resultados_integracion_partido_!$A$1:$AA$29,MATCH(F$2,[10]resultados_integracion_partido_!$A$1:$AA$1,0),FALSE)</f>
        <v>0</v>
      </c>
      <c r="G13" s="6">
        <f>VLOOKUP($A$1,[10]resultados_integracion_partido_!$A$1:$AA$29,MATCH(G$2,[10]resultados_integracion_partido_!$A$1:$AA$1,0),FALSE)</f>
        <v>1</v>
      </c>
      <c r="H13" s="6">
        <f>VLOOKUP($A$1,[10]resultados_integracion_partido_!$A$1:$AA$29,MATCH(H$2,[10]resultados_integracion_partido_!$A$1:$AA$1,0),FALSE)</f>
        <v>1</v>
      </c>
    </row>
    <row r="14" spans="1:8" x14ac:dyDescent="0.3">
      <c r="B14" s="1" t="s">
        <v>78</v>
      </c>
      <c r="C14" s="6">
        <f>VLOOKUP($A$1,[11]resultados_integracion_partido_!$A$1:$AA$29,MATCH(C$2,[11]resultados_integracion_partido_!$A$1:$AA$1,0),FALSE)</f>
        <v>1</v>
      </c>
      <c r="D14" s="6">
        <f>VLOOKUP($A$1,[11]resultados_integracion_partido_!$A$1:$AA$29,MATCH(D$2,[11]resultados_integracion_partido_!$A$1:$AA$1,0),FALSE)</f>
        <v>1</v>
      </c>
      <c r="E14" s="6">
        <f>VLOOKUP($A$1,[11]resultados_integracion_partido_!$A$1:$AA$29,MATCH(E$2,[11]resultados_integracion_partido_!$A$1:$AA$1,0),FALSE)</f>
        <v>1</v>
      </c>
      <c r="F14" s="6">
        <f>VLOOKUP($A$1,[11]resultados_integracion_partido_!$A$1:$AA$29,MATCH(F$2,[11]resultados_integracion_partido_!$A$1:$AA$1,0),FALSE)</f>
        <v>0</v>
      </c>
      <c r="G14" s="6">
        <f>VLOOKUP($A$1,[11]resultados_integracion_partido_!$A$1:$AA$29,MATCH(G$2,[11]resultados_integracion_partido_!$A$1:$AA$1,0),FALSE)</f>
        <v>1</v>
      </c>
      <c r="H14" s="6">
        <f>VLOOKUP($A$1,[11]resultados_integracion_partido_!$A$1:$AA$29,MATCH(H$2,[11]resultados_integracion_partido_!$A$1:$AA$1,0),FALSE)</f>
        <v>1</v>
      </c>
    </row>
    <row r="15" spans="1:8" ht="15" thickBot="1" x14ac:dyDescent="0.35"/>
    <row r="16" spans="1:8" ht="14.55" customHeight="1" x14ac:dyDescent="0.3">
      <c r="B16" s="35" t="s">
        <v>68</v>
      </c>
      <c r="C16" s="36"/>
      <c r="D16" s="36"/>
      <c r="E16" s="36"/>
      <c r="F16" s="36"/>
      <c r="G16" s="36"/>
      <c r="H16" s="37"/>
    </row>
    <row r="17" spans="2:8" x14ac:dyDescent="0.3">
      <c r="B17" s="38"/>
      <c r="C17" s="39"/>
      <c r="D17" s="39"/>
      <c r="E17" s="39"/>
      <c r="F17" s="39"/>
      <c r="G17" s="39"/>
      <c r="H17" s="40"/>
    </row>
    <row r="18" spans="2:8" x14ac:dyDescent="0.3">
      <c r="B18" s="38"/>
      <c r="C18" s="39"/>
      <c r="D18" s="39"/>
      <c r="E18" s="39"/>
      <c r="F18" s="39"/>
      <c r="G18" s="39"/>
      <c r="H18" s="40"/>
    </row>
    <row r="19" spans="2:8" x14ac:dyDescent="0.3">
      <c r="B19" s="38"/>
      <c r="C19" s="39"/>
      <c r="D19" s="39"/>
      <c r="E19" s="39"/>
      <c r="F19" s="39"/>
      <c r="G19" s="39"/>
      <c r="H19" s="40"/>
    </row>
    <row r="20" spans="2:8" x14ac:dyDescent="0.3">
      <c r="B20" s="38"/>
      <c r="C20" s="39"/>
      <c r="D20" s="39"/>
      <c r="E20" s="39"/>
      <c r="F20" s="39"/>
      <c r="G20" s="39"/>
      <c r="H20" s="40"/>
    </row>
    <row r="21" spans="2:8" x14ac:dyDescent="0.3">
      <c r="B21" s="38"/>
      <c r="C21" s="39"/>
      <c r="D21" s="39"/>
      <c r="E21" s="39"/>
      <c r="F21" s="39"/>
      <c r="G21" s="39"/>
      <c r="H21" s="40"/>
    </row>
    <row r="22" spans="2:8" ht="70.95" customHeight="1" x14ac:dyDescent="0.3">
      <c r="B22" s="38"/>
      <c r="C22" s="39"/>
      <c r="D22" s="39"/>
      <c r="E22" s="39"/>
      <c r="F22" s="39"/>
      <c r="G22" s="39"/>
      <c r="H22" s="40"/>
    </row>
    <row r="23" spans="2:8" x14ac:dyDescent="0.3">
      <c r="B23" s="38"/>
      <c r="C23" s="39"/>
      <c r="D23" s="39"/>
      <c r="E23" s="39"/>
      <c r="F23" s="39"/>
      <c r="G23" s="39"/>
      <c r="H23" s="40"/>
    </row>
    <row r="24" spans="2:8" x14ac:dyDescent="0.3">
      <c r="B24" s="38"/>
      <c r="C24" s="39"/>
      <c r="D24" s="39"/>
      <c r="E24" s="39"/>
      <c r="F24" s="39"/>
      <c r="G24" s="39"/>
      <c r="H24" s="40"/>
    </row>
    <row r="25" spans="2:8" ht="88.95" customHeight="1" thickBot="1" x14ac:dyDescent="0.35">
      <c r="B25" s="41"/>
      <c r="C25" s="42"/>
      <c r="D25" s="42"/>
      <c r="E25" s="42"/>
      <c r="F25" s="42"/>
      <c r="G25" s="42"/>
      <c r="H25" s="43"/>
    </row>
  </sheetData>
  <mergeCells count="1">
    <mergeCell ref="B16:H2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5"/>
  <sheetViews>
    <sheetView showGridLines="0" workbookViewId="0">
      <selection activeCell="H14" sqref="H14"/>
    </sheetView>
  </sheetViews>
  <sheetFormatPr baseColWidth="10" defaultRowHeight="14.4" x14ac:dyDescent="0.3"/>
  <cols>
    <col min="1" max="1" width="2.77734375" bestFit="1" customWidth="1"/>
    <col min="2" max="2" width="19.33203125" bestFit="1" customWidth="1"/>
    <col min="3" max="3" width="5.88671875" bestFit="1" customWidth="1"/>
    <col min="4" max="4" width="6.33203125" bestFit="1" customWidth="1"/>
    <col min="5" max="7" width="5.88671875" bestFit="1" customWidth="1"/>
    <col min="8" max="8" width="6.88671875" bestFit="1" customWidth="1"/>
    <col min="9" max="10" width="5.88671875" bestFit="1" customWidth="1"/>
    <col min="12" max="12" width="16.21875" customWidth="1"/>
    <col min="13" max="13" width="48.77734375" customWidth="1"/>
  </cols>
  <sheetData>
    <row r="1" spans="1:10" x14ac:dyDescent="0.3">
      <c r="A1" s="30">
        <v>15</v>
      </c>
    </row>
    <row r="2" spans="1:10" x14ac:dyDescent="0.3">
      <c r="B2" s="2" t="s">
        <v>0</v>
      </c>
      <c r="C2" s="2" t="s">
        <v>11</v>
      </c>
      <c r="D2" s="2" t="s">
        <v>12</v>
      </c>
      <c r="E2" s="2" t="s">
        <v>22</v>
      </c>
      <c r="F2" s="2" t="s">
        <v>15</v>
      </c>
      <c r="G2" s="2" t="s">
        <v>23</v>
      </c>
      <c r="H2" s="2" t="s">
        <v>60</v>
      </c>
      <c r="I2" s="2" t="s">
        <v>21</v>
      </c>
      <c r="J2" s="2" t="s">
        <v>14</v>
      </c>
    </row>
    <row r="3" spans="1:10" x14ac:dyDescent="0.3">
      <c r="B3" s="1" t="s">
        <v>1</v>
      </c>
      <c r="C3" s="5">
        <v>0</v>
      </c>
      <c r="D3" s="5">
        <v>1</v>
      </c>
      <c r="E3" s="5">
        <v>0</v>
      </c>
      <c r="F3" s="5">
        <v>1</v>
      </c>
      <c r="G3" s="5">
        <v>1</v>
      </c>
      <c r="H3" s="5">
        <v>0</v>
      </c>
      <c r="I3" s="5">
        <v>0</v>
      </c>
      <c r="J3" s="5">
        <v>2</v>
      </c>
    </row>
    <row r="4" spans="1:10" x14ac:dyDescent="0.3">
      <c r="B4" s="7" t="s">
        <v>29</v>
      </c>
      <c r="C4" s="8">
        <f>VLOOKUP($A$1,[1]resultados_proyectados_proporci!$A$1:$AA$29,MATCH(C$2,[1]resultados_proyectados_proporci!$A$1:$AA$1,0),FALSE)</f>
        <v>5.6785339219151201E-2</v>
      </c>
      <c r="D4" s="8">
        <f>VLOOKUP($A$1,[1]resultados_proyectados_proporci!$A$1:$AA$29,MATCH(D$2,[1]resultados_proyectados_proporci!$A$1:$AA$1,0),FALSE)</f>
        <v>3.00554307981701E-2</v>
      </c>
      <c r="E4" s="8">
        <f>VLOOKUP($A$1,[1]resultados_proyectados_proporci!$A$1:$AA$29,MATCH(E$2,[1]resultados_proyectados_proporci!$A$1:$AA$1,0),FALSE)</f>
        <v>6.0200784567753199E-2</v>
      </c>
      <c r="F4" s="8">
        <f>VLOOKUP($A$1,[1]resultados_proyectados_proporci!$A$1:$AA$29,MATCH(F$2,[1]resultados_proyectados_proporci!$A$1:$AA$1,0),FALSE)</f>
        <v>9.8994612352649405E-2</v>
      </c>
      <c r="G4" s="8">
        <f>VLOOKUP($A$1,[1]resultados_proyectados_proporci!$A$1:$AA$29,MATCH(G$2,[1]resultados_proyectados_proporci!$A$1:$AA$1,0),FALSE)</f>
        <v>8.3482289446990002E-2</v>
      </c>
      <c r="H4" s="8">
        <f>VLOOKUP($A$1,[1]resultados_proyectados_proporci!$A$1:$AA$29,MATCH(H$2,[1]resultados_proyectados_proporci!$A$1:$AA$1,0),FALSE)</f>
        <v>0.13311651453680101</v>
      </c>
      <c r="I4" s="8">
        <f>VLOOKUP($A$1,[1]resultados_proyectados_proporci!$A$1:$AA$29,MATCH(I$2,[1]resultados_proyectados_proporci!$A$1:$AA$1,0),FALSE)</f>
        <v>5.83091470378925E-2</v>
      </c>
      <c r="J4" s="8">
        <f>VLOOKUP($A$1,[1]resultados_proyectados_proporci!$A$1:$AA$29,MATCH(J$2,[1]resultados_proyectados_proporci!$A$1:$AA$1,0),FALSE)</f>
        <v>8.2508191738560901E-2</v>
      </c>
    </row>
    <row r="5" spans="1:10" x14ac:dyDescent="0.3">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2</v>
      </c>
      <c r="I5" s="6">
        <f>VLOOKUP($A$1,[2]resultados_integracion_partido_!$A$1:$AA$29,MATCH(I$2,[2]resultados_integracion_partido_!$A$1:$AA$1,0),FALSE)</f>
        <v>0</v>
      </c>
      <c r="J5" s="6">
        <f>VLOOKUP($A$1,[2]resultados_integracion_partido_!$A$1:$AA$29,MATCH(J$2,[2]resultados_integracion_partido_!$A$1:$AA$1,0),FALSE)</f>
        <v>1</v>
      </c>
    </row>
    <row r="6" spans="1:10" x14ac:dyDescent="0.3">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0</v>
      </c>
      <c r="J6" s="6">
        <f>VLOOKUP($A$1,[3]resultados_integracion_partido_!$A$1:$AA$29,MATCH(J$2,[3]resultados_integracion_partido_!$A$1:$AA$1,0),FALSE)</f>
        <v>1</v>
      </c>
    </row>
    <row r="7" spans="1:10" x14ac:dyDescent="0.3">
      <c r="B7" s="1"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0</v>
      </c>
      <c r="J7" s="6">
        <f>VLOOKUP($A$1,[4]resultados_integracion_partido_!$A$1:$AA$29,MATCH(J$2,[4]resultados_integracion_partido_!$A$1:$AA$1,0),FALSE)</f>
        <v>1</v>
      </c>
    </row>
    <row r="8" spans="1:10" x14ac:dyDescent="0.3">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0</v>
      </c>
      <c r="H8" s="6">
        <f>VLOOKUP($A$1,[5]resultados_integracion_partido_!$A$1:$AA$29,MATCH(H$2,[5]resultados_integracion_partido_!$A$1:$AA$1,0),FALSE)</f>
        <v>1</v>
      </c>
      <c r="I8" s="6">
        <f>VLOOKUP($A$1,[5]resultados_integracion_partido_!$A$1:$AA$29,MATCH(I$2,[5]resultados_integracion_partido_!$A$1:$AA$1,0),FALSE)</f>
        <v>0</v>
      </c>
      <c r="J8" s="6">
        <f>VLOOKUP($A$1,[5]resultados_integracion_partido_!$A$1:$AA$29,MATCH(J$2,[5]resultados_integracion_partido_!$A$1:$AA$1,0),FALSE)</f>
        <v>1</v>
      </c>
    </row>
    <row r="9" spans="1:10"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0</v>
      </c>
      <c r="H9" s="6">
        <f>VLOOKUP($A$1,[6]resultados_integracion_partido_!$A$1:$AA$29,MATCH(H$2,[6]resultados_integracion_partido_!$A$1:$AA$1,0),FALSE)</f>
        <v>1</v>
      </c>
      <c r="I9" s="6">
        <f>VLOOKUP($A$1,[6]resultados_integracion_partido_!$A$1:$AA$29,MATCH(I$2,[6]resultados_integracion_partido_!$A$1:$AA$1,0),FALSE)</f>
        <v>0</v>
      </c>
      <c r="J9" s="6">
        <f>VLOOKUP($A$1,[6]resultados_integracion_partido_!$A$1:$AA$29,MATCH(J$2,[6]resultados_integracion_partido_!$A$1:$AA$1,0),FALSE)</f>
        <v>1</v>
      </c>
    </row>
    <row r="10" spans="1:10"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0</v>
      </c>
      <c r="H10" s="6">
        <f>VLOOKUP($A$1,[7]resultados_integracion_partido_!$A$1:$AA$29,MATCH(H$2,[7]resultados_integracion_partido_!$A$1:$AA$1,0),FALSE)</f>
        <v>1</v>
      </c>
      <c r="I10" s="6">
        <f>VLOOKUP($A$1,[7]resultados_integracion_partido_!$A$1:$AA$29,MATCH(I$2,[7]resultados_integracion_partido_!$A$1:$AA$1,0),FALSE)</f>
        <v>0</v>
      </c>
      <c r="J10" s="6">
        <f>VLOOKUP($A$1,[7]resultados_integracion_partido_!$A$1:$AA$29,MATCH(J$2,[7]resultados_integracion_partido_!$A$1:$AA$1,0),FALSE)</f>
        <v>1</v>
      </c>
    </row>
    <row r="11" spans="1:10" x14ac:dyDescent="0.3">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0</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row>
    <row r="12" spans="1:10" x14ac:dyDescent="0.3">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0</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row>
    <row r="13" spans="1:10" x14ac:dyDescent="0.3">
      <c r="B13" s="1" t="s">
        <v>77</v>
      </c>
      <c r="C13" s="6">
        <f>VLOOKUP($A$1,[10]resultados_integracion_partido_!$A$1:$AA$29,MATCH(C$2,[10]resultados_integracion_partido_!$A$1:$AA$1,0),FALSE)</f>
        <v>0</v>
      </c>
      <c r="D13" s="6">
        <f>VLOOKUP($A$1,[10]resultados_integracion_partido_!$A$1:$AA$29,MATCH(D$2,[10]resultados_integracion_partido_!$A$1:$AA$1,0),FALSE)</f>
        <v>0</v>
      </c>
      <c r="E13" s="6">
        <f>VLOOKUP($A$1,[10]resultados_integracion_partido_!$A$1:$AA$29,MATCH(E$2,[10]resultados_integracion_partido_!$A$1:$AA$1,0),FALSE)</f>
        <v>1</v>
      </c>
      <c r="F13" s="6">
        <f>VLOOKUP($A$1,[10]resultados_integracion_partido_!$A$1:$AA$29,MATCH(F$2,[10]resultados_integracion_partido_!$A$1:$AA$1,0),FALSE)</f>
        <v>1</v>
      </c>
      <c r="G13" s="6">
        <f>VLOOKUP($A$1,[10]resultados_integracion_partido_!$A$1:$AA$29,MATCH(G$2,[10]resultados_integracion_partido_!$A$1:$AA$1,0),FALSE)</f>
        <v>0</v>
      </c>
      <c r="H13" s="6">
        <f>VLOOKUP($A$1,[10]resultados_integracion_partido_!$A$1:$AA$29,MATCH(H$2,[10]resultados_integracion_partido_!$A$1:$AA$1,0),FALSE)</f>
        <v>1</v>
      </c>
      <c r="I13" s="6">
        <f>VLOOKUP($A$1,[10]resultados_integracion_partido_!$A$1:$AA$29,MATCH(I$2,[10]resultados_integracion_partido_!$A$1:$AA$1,0),FALSE)</f>
        <v>1</v>
      </c>
      <c r="J13" s="6">
        <f>VLOOKUP($A$1,[10]resultados_integracion_partido_!$A$1:$AA$29,MATCH(J$2,[10]resultados_integracion_partido_!$A$1:$AA$1,0),FALSE)</f>
        <v>1</v>
      </c>
    </row>
    <row r="14" spans="1:10" x14ac:dyDescent="0.3">
      <c r="B14" s="1" t="s">
        <v>78</v>
      </c>
      <c r="C14" s="6">
        <f>VLOOKUP($A$1,[11]resultados_integracion_partido_!$A$1:$AA$29,MATCH(C$2,[11]resultados_integracion_partido_!$A$1:$AA$1,0),FALSE)</f>
        <v>0</v>
      </c>
      <c r="D14" s="6">
        <f>VLOOKUP($A$1,[11]resultados_integracion_partido_!$A$1:$AA$29,MATCH(D$2,[11]resultados_integracion_partido_!$A$1:$AA$1,0),FALSE)</f>
        <v>0</v>
      </c>
      <c r="E14" s="6">
        <f>VLOOKUP($A$1,[11]resultados_integracion_partido_!$A$1:$AA$29,MATCH(E$2,[11]resultados_integracion_partido_!$A$1:$AA$1,0),FALSE)</f>
        <v>1</v>
      </c>
      <c r="F14" s="6">
        <f>VLOOKUP($A$1,[11]resultados_integracion_partido_!$A$1:$AA$29,MATCH(F$2,[11]resultados_integracion_partido_!$A$1:$AA$1,0),FALSE)</f>
        <v>1</v>
      </c>
      <c r="G14" s="6">
        <f>VLOOKUP($A$1,[11]resultados_integracion_partido_!$A$1:$AA$29,MATCH(G$2,[11]resultados_integracion_partido_!$A$1:$AA$1,0),FALSE)</f>
        <v>0</v>
      </c>
      <c r="H14" s="6">
        <f>VLOOKUP($A$1,[11]resultados_integracion_partido_!$A$1:$AA$29,MATCH(H$2,[11]resultados_integracion_partido_!$A$1:$AA$1,0),FALSE)</f>
        <v>1</v>
      </c>
      <c r="I14" s="6">
        <f>VLOOKUP($A$1,[11]resultados_integracion_partido_!$A$1:$AA$29,MATCH(I$2,[11]resultados_integracion_partido_!$A$1:$AA$1,0),FALSE)</f>
        <v>1</v>
      </c>
      <c r="J14" s="6">
        <f>VLOOKUP($A$1,[11]resultados_integracion_partido_!$A$1:$AA$29,MATCH(J$2,[11]resultados_integracion_partido_!$A$1:$AA$1,0),FALSE)</f>
        <v>1</v>
      </c>
    </row>
    <row r="15" spans="1:10" ht="15" thickBot="1" x14ac:dyDescent="0.35"/>
    <row r="16" spans="1:10" ht="14.55" customHeight="1" x14ac:dyDescent="0.3">
      <c r="B16" s="35" t="s">
        <v>70</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41"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H25"/>
  <sheetViews>
    <sheetView showGridLines="0" zoomScaleNormal="100" workbookViewId="0">
      <selection activeCell="B13" sqref="B13:N14"/>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s>
  <sheetData>
    <row r="1" spans="1:8" x14ac:dyDescent="0.3">
      <c r="A1" s="30">
        <v>16</v>
      </c>
    </row>
    <row r="2" spans="1:8" x14ac:dyDescent="0.3">
      <c r="B2" s="2" t="s">
        <v>0</v>
      </c>
      <c r="C2" s="2" t="s">
        <v>11</v>
      </c>
      <c r="D2" s="2" t="s">
        <v>21</v>
      </c>
      <c r="E2" s="2" t="s">
        <v>22</v>
      </c>
      <c r="F2" s="2" t="s">
        <v>15</v>
      </c>
      <c r="G2" s="2" t="s">
        <v>23</v>
      </c>
      <c r="H2" s="2" t="s">
        <v>60</v>
      </c>
    </row>
    <row r="3" spans="1:8" x14ac:dyDescent="0.3">
      <c r="B3" s="1" t="s">
        <v>1</v>
      </c>
      <c r="C3" s="5">
        <v>1</v>
      </c>
      <c r="D3" s="5">
        <v>1</v>
      </c>
      <c r="E3" s="5">
        <v>0</v>
      </c>
      <c r="F3" s="5">
        <v>1</v>
      </c>
      <c r="G3" s="5">
        <v>1</v>
      </c>
      <c r="H3" s="5">
        <v>0</v>
      </c>
    </row>
    <row r="4" spans="1:8" x14ac:dyDescent="0.3">
      <c r="B4" s="7" t="s">
        <v>29</v>
      </c>
      <c r="C4" s="8">
        <f>VLOOKUP($A$1,[1]resultados_proyectados_proporci!$A$1:$AA$29,MATCH(C$2,[1]resultados_proyectados_proporci!$A$1:$AA$1,0),FALSE)</f>
        <v>5.4583715425404203E-2</v>
      </c>
      <c r="D4" s="8">
        <f>VLOOKUP($A$1,[1]resultados_proyectados_proporci!$A$1:$AA$29,MATCH(D$2,[1]resultados_proyectados_proporci!$A$1:$AA$1,0),FALSE)</f>
        <v>7.0252900741953297E-2</v>
      </c>
      <c r="E4" s="8">
        <f>VLOOKUP($A$1,[1]resultados_proyectados_proporci!$A$1:$AA$29,MATCH(E$2,[1]resultados_proyectados_proporci!$A$1:$AA$1,0),FALSE)</f>
        <v>8.7097287588386404E-2</v>
      </c>
      <c r="F4" s="8">
        <f>VLOOKUP($A$1,[1]resultados_proyectados_proporci!$A$1:$AA$29,MATCH(F$2,[1]resultados_proyectados_proporci!$A$1:$AA$1,0),FALSE)</f>
        <v>0.11423150863843801</v>
      </c>
      <c r="G4" s="8">
        <f>VLOOKUP($A$1,[1]resultados_proyectados_proporci!$A$1:$AA$29,MATCH(G$2,[1]resultados_proyectados_proporci!$A$1:$AA$1,0),FALSE)</f>
        <v>0.13826503674399401</v>
      </c>
      <c r="H4" s="8">
        <f>VLOOKUP($A$1,[1]resultados_proyectados_proporci!$A$1:$AA$29,MATCH(H$2,[1]resultados_proyectados_proporci!$A$1:$AA$1,0),FALSE)</f>
        <v>9.5258521600517301E-2</v>
      </c>
    </row>
    <row r="5" spans="1:8" x14ac:dyDescent="0.3">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row>
    <row r="6" spans="1:8" x14ac:dyDescent="0.3">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0</v>
      </c>
    </row>
    <row r="7" spans="1:8" x14ac:dyDescent="0.3">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row>
    <row r="8" spans="1:8" x14ac:dyDescent="0.3">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row>
    <row r="9" spans="1:8"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0</v>
      </c>
    </row>
    <row r="10" spans="1:8"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0</v>
      </c>
    </row>
    <row r="11" spans="1:8" x14ac:dyDescent="0.3">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row>
    <row r="12" spans="1:8" x14ac:dyDescent="0.3">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row>
    <row r="13" spans="1:8" x14ac:dyDescent="0.3">
      <c r="B13" s="1" t="s">
        <v>77</v>
      </c>
      <c r="C13" s="6">
        <f>VLOOKUP($A$1,[10]resultados_integracion_partido_!$A$1:$AA$29,MATCH(C$2,[10]resultados_integracion_partido_!$A$1:$AA$1,0),FALSE)</f>
        <v>0</v>
      </c>
      <c r="D13" s="6">
        <f>VLOOKUP($A$1,[10]resultados_integracion_partido_!$A$1:$AA$29,MATCH(D$2,[10]resultados_integracion_partido_!$A$1:$AA$1,0),FALSE)</f>
        <v>1</v>
      </c>
      <c r="E13" s="6">
        <f>VLOOKUP($A$1,[10]resultados_integracion_partido_!$A$1:$AA$29,MATCH(E$2,[10]resultados_integracion_partido_!$A$1:$AA$1,0),FALSE)</f>
        <v>1</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0</v>
      </c>
    </row>
    <row r="14" spans="1:8" x14ac:dyDescent="0.3">
      <c r="B14" s="1" t="s">
        <v>78</v>
      </c>
      <c r="C14" s="6">
        <f>VLOOKUP($A$1,[11]resultados_integracion_partido_!$A$1:$AA$29,MATCH(C$2,[11]resultados_integracion_partido_!$A$1:$AA$1,0),FALSE)</f>
        <v>0</v>
      </c>
      <c r="D14" s="6">
        <f>VLOOKUP($A$1,[11]resultados_integracion_partido_!$A$1:$AA$29,MATCH(D$2,[11]resultados_integracion_partido_!$A$1:$AA$1,0),FALSE)</f>
        <v>1</v>
      </c>
      <c r="E14" s="6">
        <f>VLOOKUP($A$1,[11]resultados_integracion_partido_!$A$1:$AA$29,MATCH(E$2,[11]resultados_integracion_partido_!$A$1:$AA$1,0),FALSE)</f>
        <v>1</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0</v>
      </c>
    </row>
    <row r="15" spans="1:8" ht="15" thickBot="1" x14ac:dyDescent="0.35"/>
    <row r="16" spans="1:8" ht="14.55" customHeight="1" x14ac:dyDescent="0.3">
      <c r="B16" s="35" t="s">
        <v>71</v>
      </c>
      <c r="C16" s="36"/>
      <c r="D16" s="36"/>
      <c r="E16" s="36"/>
      <c r="F16" s="36"/>
      <c r="G16" s="36"/>
      <c r="H16" s="37"/>
    </row>
    <row r="17" spans="2:8" x14ac:dyDescent="0.3">
      <c r="B17" s="38"/>
      <c r="C17" s="39"/>
      <c r="D17" s="39"/>
      <c r="E17" s="39"/>
      <c r="F17" s="39"/>
      <c r="G17" s="39"/>
      <c r="H17" s="40"/>
    </row>
    <row r="18" spans="2:8" x14ac:dyDescent="0.3">
      <c r="B18" s="38"/>
      <c r="C18" s="39"/>
      <c r="D18" s="39"/>
      <c r="E18" s="39"/>
      <c r="F18" s="39"/>
      <c r="G18" s="39"/>
      <c r="H18" s="40"/>
    </row>
    <row r="19" spans="2:8" x14ac:dyDescent="0.3">
      <c r="B19" s="38"/>
      <c r="C19" s="39"/>
      <c r="D19" s="39"/>
      <c r="E19" s="39"/>
      <c r="F19" s="39"/>
      <c r="G19" s="39"/>
      <c r="H19" s="40"/>
    </row>
    <row r="20" spans="2:8" x14ac:dyDescent="0.3">
      <c r="B20" s="38"/>
      <c r="C20" s="39"/>
      <c r="D20" s="39"/>
      <c r="E20" s="39"/>
      <c r="F20" s="39"/>
      <c r="G20" s="39"/>
      <c r="H20" s="40"/>
    </row>
    <row r="21" spans="2:8" x14ac:dyDescent="0.3">
      <c r="B21" s="38"/>
      <c r="C21" s="39"/>
      <c r="D21" s="39"/>
      <c r="E21" s="39"/>
      <c r="F21" s="39"/>
      <c r="G21" s="39"/>
      <c r="H21" s="40"/>
    </row>
    <row r="22" spans="2:8" ht="87" customHeight="1" x14ac:dyDescent="0.3">
      <c r="B22" s="38"/>
      <c r="C22" s="39"/>
      <c r="D22" s="39"/>
      <c r="E22" s="39"/>
      <c r="F22" s="39"/>
      <c r="G22" s="39"/>
      <c r="H22" s="40"/>
    </row>
    <row r="23" spans="2:8" x14ac:dyDescent="0.3">
      <c r="B23" s="38"/>
      <c r="C23" s="39"/>
      <c r="D23" s="39"/>
      <c r="E23" s="39"/>
      <c r="F23" s="39"/>
      <c r="G23" s="39"/>
      <c r="H23" s="40"/>
    </row>
    <row r="24" spans="2:8" x14ac:dyDescent="0.3">
      <c r="B24" s="38"/>
      <c r="C24" s="39"/>
      <c r="D24" s="39"/>
      <c r="E24" s="39"/>
      <c r="F24" s="39"/>
      <c r="G24" s="39"/>
      <c r="H24" s="40"/>
    </row>
    <row r="25" spans="2:8" ht="74.55" customHeight="1" thickBot="1" x14ac:dyDescent="0.35">
      <c r="B25" s="41"/>
      <c r="C25" s="42"/>
      <c r="D25" s="42"/>
      <c r="E25" s="42"/>
      <c r="F25" s="42"/>
      <c r="G25" s="42"/>
      <c r="H25" s="43"/>
    </row>
  </sheetData>
  <mergeCells count="1">
    <mergeCell ref="B16:H2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5"/>
  <sheetViews>
    <sheetView showGridLines="0" zoomScaleNormal="100" workbookViewId="0">
      <selection activeCell="L4" sqref="L4"/>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 min="9" max="9" width="6.88671875" bestFit="1" customWidth="1"/>
    <col min="10" max="10" width="5.88671875" bestFit="1" customWidth="1"/>
    <col min="11" max="11" width="6.109375" bestFit="1" customWidth="1"/>
  </cols>
  <sheetData>
    <row r="1" spans="1:11" x14ac:dyDescent="0.3">
      <c r="A1" s="30">
        <v>21</v>
      </c>
    </row>
    <row r="2" spans="1:11" x14ac:dyDescent="0.3">
      <c r="B2" s="3" t="s">
        <v>0</v>
      </c>
      <c r="C2" s="3" t="s">
        <v>11</v>
      </c>
      <c r="D2" s="3" t="s">
        <v>61</v>
      </c>
      <c r="E2" s="3" t="s">
        <v>21</v>
      </c>
      <c r="F2" s="3" t="s">
        <v>23</v>
      </c>
      <c r="G2" s="3" t="s">
        <v>60</v>
      </c>
      <c r="H2" s="3" t="s">
        <v>20</v>
      </c>
      <c r="I2" s="3" t="s">
        <v>15</v>
      </c>
      <c r="J2" s="3" t="s">
        <v>22</v>
      </c>
      <c r="K2" s="3" t="s">
        <v>17</v>
      </c>
    </row>
    <row r="3" spans="1:11" x14ac:dyDescent="0.3">
      <c r="B3" s="4" t="s">
        <v>1</v>
      </c>
      <c r="C3" s="4">
        <v>1</v>
      </c>
      <c r="D3" s="4">
        <v>1</v>
      </c>
      <c r="E3" s="4">
        <v>0</v>
      </c>
      <c r="F3" s="4">
        <v>1</v>
      </c>
      <c r="G3" s="4">
        <v>1</v>
      </c>
      <c r="H3" s="4">
        <v>0</v>
      </c>
      <c r="I3" s="4">
        <v>1</v>
      </c>
      <c r="J3" s="4">
        <v>0</v>
      </c>
      <c r="K3" s="4">
        <v>0</v>
      </c>
    </row>
    <row r="4" spans="1:11" x14ac:dyDescent="0.3">
      <c r="B4" s="7" t="s">
        <v>29</v>
      </c>
      <c r="C4" s="8">
        <f>VLOOKUP($A$1,[1]resultados_proyectados_proporci!$A$1:$AA$29,MATCH(C$2,[1]resultados_proyectados_proporci!$A$1:$AA$1,0),FALSE)</f>
        <v>3.6312728242405702E-2</v>
      </c>
      <c r="D4" s="8">
        <f>VLOOKUP($A$1,[1]resultados_proyectados_proporci!$A$1:$AA$29,MATCH(D$2,[1]resultados_proyectados_proporci!$A$1:$AA$1,0),FALSE)</f>
        <v>6.4196872440524896E-2</v>
      </c>
      <c r="E4" s="8">
        <f>VLOOKUP($A$1,[1]resultados_proyectados_proporci!$A$1:$AA$29,MATCH(E$2,[1]resultados_proyectados_proporci!$A$1:$AA$1,0),FALSE)</f>
        <v>7.3569854080701394E-2</v>
      </c>
      <c r="F4" s="8">
        <f>VLOOKUP($A$1,[1]resultados_proyectados_proporci!$A$1:$AA$29,MATCH(F$2,[1]resultados_proyectados_proporci!$A$1:$AA$1,0),FALSE)</f>
        <v>0.102611032517129</v>
      </c>
      <c r="G4" s="8">
        <f>VLOOKUP($A$1,[1]resultados_proyectados_proporci!$A$1:$AA$29,MATCH(G$2,[1]resultados_proyectados_proporci!$A$1:$AA$1,0),FALSE)</f>
        <v>0.11951391402068499</v>
      </c>
      <c r="H4" s="8">
        <f>VLOOKUP($A$1,[1]resultados_proyectados_proporci!$A$1:$AA$29,MATCH(H$2,[1]resultados_proyectados_proporci!$A$1:$AA$1,0),FALSE)</f>
        <v>7.2966229214681599E-2</v>
      </c>
      <c r="I4" s="8">
        <f>VLOOKUP($A$1,[1]resultados_proyectados_proporci!$A$1:$AA$29,MATCH(I$2,[1]resultados_proyectados_proporci!$A$1:$AA$1,0),FALSE)</f>
        <v>0.11405323881276699</v>
      </c>
      <c r="J4" s="8">
        <f>VLOOKUP($A$1,[1]resultados_proyectados_proporci!$A$1:$AA$29,MATCH(J$2,[1]resultados_proyectados_proporci!$A$1:$AA$1,0),FALSE)</f>
        <v>5.2002818993923901E-2</v>
      </c>
      <c r="K4" s="8">
        <f>VLOOKUP($A$1,[1]resultados_proyectados_proporci!$A$1:$AA$29,MATCH(K$2,[1]resultados_proyectados_proporci!$A$1:$AA$1,0),FALSE)</f>
        <v>4.3002817262355102E-2</v>
      </c>
    </row>
    <row r="5" spans="1:11" x14ac:dyDescent="0.3">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0</v>
      </c>
    </row>
    <row r="6" spans="1:11" x14ac:dyDescent="0.3">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0</v>
      </c>
    </row>
    <row r="7" spans="1:11" x14ac:dyDescent="0.3">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
      <c r="B8" s="4"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0</v>
      </c>
    </row>
    <row r="10" spans="1:11" x14ac:dyDescent="0.3">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0</v>
      </c>
    </row>
    <row r="11" spans="1:11" x14ac:dyDescent="0.3">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x14ac:dyDescent="0.3">
      <c r="B13" s="1" t="s">
        <v>77</v>
      </c>
      <c r="C13" s="6">
        <f>VLOOKUP($A$1,[10]resultados_integracion_partido_!$A$1:$AA$29,MATCH(C$2,[10]resultados_integracion_partido_!$A$1:$AA$1,0),FALSE)</f>
        <v>0</v>
      </c>
      <c r="D13" s="6">
        <f>VLOOKUP($A$1,[10]resultados_integracion_partido_!$A$1:$AA$29,MATCH(D$2,[10]resultados_integracion_partido_!$A$1:$AA$1,0),FALSE)</f>
        <v>0</v>
      </c>
      <c r="E13" s="6">
        <f>VLOOKUP($A$1,[10]resultados_integracion_partido_!$A$1:$AA$29,MATCH(E$2,[10]resultados_integracion_partido_!$A$1:$AA$1,0),FALSE)</f>
        <v>1</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1</v>
      </c>
      <c r="J13" s="6">
        <f>VLOOKUP($A$1,[10]resultados_integracion_partido_!$A$1:$AA$29,MATCH(J$2,[10]resultados_integracion_partido_!$A$1:$AA$1,0),FALSE)</f>
        <v>0</v>
      </c>
      <c r="K13" s="6">
        <f>VLOOKUP($A$1,[10]resultados_integracion_partido_!$A$1:$AA$29,MATCH(K$2,[10]resultados_integracion_partido_!$A$1:$AA$1,0),FALSE)</f>
        <v>0</v>
      </c>
    </row>
    <row r="14" spans="1:11" x14ac:dyDescent="0.3">
      <c r="B14" s="1" t="s">
        <v>78</v>
      </c>
      <c r="C14" s="6">
        <f>VLOOKUP($A$1,[11]resultados_integracion_partido_!$A$1:$AA$29,MATCH(C$2,[11]resultados_integracion_partido_!$A$1:$AA$1,0),FALSE)</f>
        <v>0</v>
      </c>
      <c r="D14" s="6">
        <f>VLOOKUP($A$1,[11]resultados_integracion_partido_!$A$1:$AA$29,MATCH(D$2,[11]resultados_integracion_partido_!$A$1:$AA$1,0),FALSE)</f>
        <v>0</v>
      </c>
      <c r="E14" s="6">
        <f>VLOOKUP($A$1,[11]resultados_integracion_partido_!$A$1:$AA$29,MATCH(E$2,[11]resultados_integracion_partido_!$A$1:$AA$1,0),FALSE)</f>
        <v>1</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1</v>
      </c>
      <c r="J14" s="6">
        <f>VLOOKUP($A$1,[11]resultados_integracion_partido_!$A$1:$AA$29,MATCH(J$2,[11]resultados_integracion_partido_!$A$1:$AA$1,0),FALSE)</f>
        <v>0</v>
      </c>
      <c r="K14" s="6">
        <f>VLOOKUP($A$1,[11]resultados_integracion_partido_!$A$1:$AA$29,MATCH(K$2,[11]resultados_integracion_partido_!$A$1:$AA$1,0),FALSE)</f>
        <v>0</v>
      </c>
    </row>
    <row r="15" spans="1:11" ht="15" thickBot="1" x14ac:dyDescent="0.35"/>
    <row r="16" spans="1:11" ht="14.55" customHeight="1" x14ac:dyDescent="0.3">
      <c r="B16" s="35" t="s">
        <v>76</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97.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5"/>
  <sheetViews>
    <sheetView showGridLines="0" workbookViewId="0">
      <selection activeCell="L6" sqref="L6"/>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9" max="9" width="6.88671875" bestFit="1" customWidth="1"/>
    <col min="10" max="11" width="5.88671875" bestFit="1" customWidth="1"/>
  </cols>
  <sheetData>
    <row r="1" spans="1:11" x14ac:dyDescent="0.3">
      <c r="A1" s="30">
        <v>23</v>
      </c>
    </row>
    <row r="2" spans="1:11" x14ac:dyDescent="0.3">
      <c r="B2" s="3" t="s">
        <v>0</v>
      </c>
      <c r="C2" s="3" t="s">
        <v>11</v>
      </c>
      <c r="D2" s="3" t="s">
        <v>63</v>
      </c>
      <c r="E2" s="3" t="s">
        <v>20</v>
      </c>
      <c r="F2" s="3" t="s">
        <v>23</v>
      </c>
      <c r="G2" s="3" t="s">
        <v>60</v>
      </c>
      <c r="H2" s="3" t="s">
        <v>14</v>
      </c>
      <c r="I2" s="3" t="s">
        <v>15</v>
      </c>
      <c r="J2" s="3" t="s">
        <v>22</v>
      </c>
      <c r="K2" s="3" t="s">
        <v>21</v>
      </c>
    </row>
    <row r="3" spans="1:11" x14ac:dyDescent="0.3">
      <c r="B3" s="4" t="s">
        <v>1</v>
      </c>
      <c r="C3" s="4">
        <v>1</v>
      </c>
      <c r="D3" s="4">
        <v>1</v>
      </c>
      <c r="E3" s="4">
        <v>0</v>
      </c>
      <c r="F3" s="4">
        <v>1</v>
      </c>
      <c r="G3" s="4">
        <v>2</v>
      </c>
      <c r="H3" s="4">
        <v>0</v>
      </c>
      <c r="I3" s="4">
        <v>2</v>
      </c>
      <c r="J3" s="4">
        <v>0</v>
      </c>
      <c r="K3" s="4">
        <v>0</v>
      </c>
    </row>
    <row r="4" spans="1:11" x14ac:dyDescent="0.3">
      <c r="B4" s="7" t="s">
        <v>29</v>
      </c>
      <c r="C4" s="8">
        <f>VLOOKUP($A$1,[1]resultados_proyectados_proporci!$A$1:$AA$29,MATCH(C$2,[1]resultados_proyectados_proporci!$A$1:$AA$1,0),FALSE)</f>
        <v>5.9345126024072901E-2</v>
      </c>
      <c r="D4" s="8">
        <f>VLOOKUP($A$1,[1]resultados_proyectados_proporci!$A$1:$AA$29,MATCH(D$2,[1]resultados_proyectados_proporci!$A$1:$AA$1,0),FALSE)</f>
        <v>3.10958114136499E-2</v>
      </c>
      <c r="E4" s="8">
        <f>VLOOKUP($A$1,[1]resultados_proyectados_proporci!$A$1:$AA$29,MATCH(E$2,[1]resultados_proyectados_proporci!$A$1:$AA$1,0),FALSE)</f>
        <v>4.1369193844506803E-2</v>
      </c>
      <c r="F4" s="8">
        <f>VLOOKUP($A$1,[1]resultados_proyectados_proporci!$A$1:$AA$29,MATCH(F$2,[1]resultados_proyectados_proporci!$A$1:$AA$1,0),FALSE)</f>
        <v>9.3470033641291903E-2</v>
      </c>
      <c r="G4" s="8">
        <f>VLOOKUP($A$1,[1]resultados_proyectados_proporci!$A$1:$AA$29,MATCH(G$2,[1]resultados_proyectados_proporci!$A$1:$AA$1,0),FALSE)</f>
        <v>0.1169833167047</v>
      </c>
      <c r="H4" s="8">
        <f>VLOOKUP($A$1,[1]resultados_proyectados_proporci!$A$1:$AA$29,MATCH(H$2,[1]resultados_proyectados_proporci!$A$1:$AA$1,0),FALSE)</f>
        <v>5.0201356755263202E-2</v>
      </c>
      <c r="I4" s="8">
        <f>VLOOKUP($A$1,[1]resultados_proyectados_proporci!$A$1:$AA$29,MATCH(I$2,[1]resultados_proyectados_proporci!$A$1:$AA$1,0),FALSE)</f>
        <v>0.132514855857188</v>
      </c>
      <c r="J4" s="8">
        <f>VLOOKUP($A$1,[1]resultados_proyectados_proporci!$A$1:$AA$29,MATCH(J$2,[1]resultados_proyectados_proporci!$A$1:$AA$1,0),FALSE)</f>
        <v>3.8559281103914399E-2</v>
      </c>
      <c r="K4" s="8">
        <f>VLOOKUP($A$1,[1]resultados_proyectados_proporci!$A$1:$AA$29,MATCH(K$2,[1]resultados_proyectados_proporci!$A$1:$AA$1,0),FALSE)</f>
        <v>4.6752827482718001E-2</v>
      </c>
    </row>
    <row r="5" spans="1:11" x14ac:dyDescent="0.3">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0</v>
      </c>
    </row>
    <row r="6" spans="1:11" x14ac:dyDescent="0.3">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0</v>
      </c>
      <c r="K6" s="6">
        <f>VLOOKUP($A$1,[3]resultados_integracion_partido_!$A$1:$AA$29,MATCH(K$2,[3]resultados_integracion_partido_!$A$1:$AA$1,0),FALSE)</f>
        <v>1</v>
      </c>
    </row>
    <row r="7" spans="1:11" x14ac:dyDescent="0.3">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c r="K7" s="6">
        <f>VLOOKUP($A$1,[4]resultados_integracion_partido_!$A$1:$AA$29,MATCH(K$2,[4]resultados_integracion_partido_!$A$1:$AA$1,0),FALSE)</f>
        <v>0</v>
      </c>
    </row>
    <row r="8" spans="1:11" x14ac:dyDescent="0.3">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0</v>
      </c>
      <c r="K8" s="6">
        <f>VLOOKUP($A$1,[5]resultados_integracion_partido_!$A$1:$AA$29,MATCH(K$2,[5]resultados_integracion_partido_!$A$1:$AA$1,0),FALSE)</f>
        <v>0</v>
      </c>
    </row>
    <row r="9" spans="1:11"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0</v>
      </c>
      <c r="K9" s="6">
        <f>VLOOKUP($A$1,[6]resultados_integracion_partido_!$A$1:$AA$29,MATCH(K$2,[6]resultados_integracion_partido_!$A$1:$AA$1,0),FALSE)</f>
        <v>1</v>
      </c>
    </row>
    <row r="10" spans="1:11"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0</v>
      </c>
      <c r="K10" s="6">
        <f>VLOOKUP($A$1,[7]resultados_integracion_partido_!$A$1:$AA$29,MATCH(K$2,[7]resultados_integracion_partido_!$A$1:$AA$1,0),FALSE)</f>
        <v>1</v>
      </c>
    </row>
    <row r="11" spans="1:11" x14ac:dyDescent="0.3">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0</v>
      </c>
      <c r="K11" s="6">
        <f>VLOOKUP($A$1,[8]resultados_integracion_partido_!$A$1:$AA$29,MATCH(K$2,[8]resultados_integracion_partido_!$A$1:$AA$1,0),FALSE)</f>
        <v>1</v>
      </c>
    </row>
    <row r="12" spans="1:11" x14ac:dyDescent="0.3">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0</v>
      </c>
      <c r="K12" s="6">
        <f>VLOOKUP($A$1,[9]resultados_integracion_partido_!$A$1:$AA$29,MATCH(K$2,[9]resultados_integracion_partido_!$A$1:$AA$1,0),FALSE)</f>
        <v>1</v>
      </c>
    </row>
    <row r="13" spans="1:11" x14ac:dyDescent="0.3">
      <c r="B13" s="1" t="s">
        <v>77</v>
      </c>
      <c r="C13" s="6">
        <f>VLOOKUP($A$1,[10]resultados_integracion_partido_!$A$1:$AA$29,MATCH(C$2,[10]resultados_integracion_partido_!$A$1:$AA$1,0),FALSE)</f>
        <v>1</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2</v>
      </c>
      <c r="J13" s="6">
        <f>VLOOKUP($A$1,[10]resultados_integracion_partido_!$A$1:$AA$29,MATCH(J$2,[10]resultados_integracion_partido_!$A$1:$AA$1,0),FALSE)</f>
        <v>0</v>
      </c>
      <c r="K13" s="6">
        <f>VLOOKUP($A$1,[10]resultados_integracion_partido_!$A$1:$AA$29,MATCH(K$2,[10]resultados_integracion_partido_!$A$1:$AA$1,0),FALSE)</f>
        <v>1</v>
      </c>
    </row>
    <row r="14" spans="1:11" x14ac:dyDescent="0.3">
      <c r="B14" s="1" t="s">
        <v>78</v>
      </c>
      <c r="C14" s="6">
        <f>VLOOKUP($A$1,[11]resultados_integracion_partido_!$A$1:$AA$29,MATCH(C$2,[11]resultados_integracion_partido_!$A$1:$AA$1,0),FALSE)</f>
        <v>1</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2</v>
      </c>
      <c r="J14" s="6">
        <f>VLOOKUP($A$1,[11]resultados_integracion_partido_!$A$1:$AA$29,MATCH(J$2,[11]resultados_integracion_partido_!$A$1:$AA$1,0),FALSE)</f>
        <v>0</v>
      </c>
      <c r="K14" s="6">
        <f>VLOOKUP($A$1,[11]resultados_integracion_partido_!$A$1:$AA$29,MATCH(K$2,[11]resultados_integracion_partido_!$A$1:$AA$1,0),FALSE)</f>
        <v>1</v>
      </c>
    </row>
    <row r="15" spans="1:11" ht="15" thickBot="1" x14ac:dyDescent="0.35"/>
    <row r="16" spans="1:11" ht="14.55" customHeight="1" x14ac:dyDescent="0.3">
      <c r="B16" s="35" t="s">
        <v>72</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ht="69.45" customHeight="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62.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5"/>
  <sheetViews>
    <sheetView showGridLines="0" zoomScaleNormal="100" workbookViewId="0">
      <selection activeCell="B13" sqref="B13:N14"/>
    </sheetView>
  </sheetViews>
  <sheetFormatPr baseColWidth="10" defaultRowHeight="14.4" x14ac:dyDescent="0.3"/>
  <cols>
    <col min="1" max="1" width="2.77734375" bestFit="1" customWidth="1"/>
    <col min="2" max="2" width="19.33203125" bestFit="1" customWidth="1"/>
    <col min="3" max="5" width="5.88671875" bestFit="1" customWidth="1"/>
    <col min="6" max="6" width="6.88671875" bestFit="1" customWidth="1"/>
    <col min="7" max="7" width="5.88671875" bestFit="1" customWidth="1"/>
    <col min="8" max="9" width="6.88671875" bestFit="1" customWidth="1"/>
  </cols>
  <sheetData>
    <row r="1" spans="1:9" x14ac:dyDescent="0.3">
      <c r="A1" s="30">
        <v>24</v>
      </c>
    </row>
    <row r="2" spans="1:9" x14ac:dyDescent="0.3">
      <c r="B2" s="3" t="s">
        <v>0</v>
      </c>
      <c r="C2" s="3" t="s">
        <v>11</v>
      </c>
      <c r="D2" s="3" t="s">
        <v>25</v>
      </c>
      <c r="E2" s="3" t="s">
        <v>23</v>
      </c>
      <c r="F2" s="3" t="s">
        <v>60</v>
      </c>
      <c r="G2" s="3" t="s">
        <v>14</v>
      </c>
      <c r="H2" s="3" t="s">
        <v>15</v>
      </c>
      <c r="I2" s="3" t="s">
        <v>22</v>
      </c>
    </row>
    <row r="3" spans="1:9" x14ac:dyDescent="0.3">
      <c r="B3" s="4" t="s">
        <v>1</v>
      </c>
      <c r="C3" s="4">
        <v>1</v>
      </c>
      <c r="D3" s="4">
        <v>1</v>
      </c>
      <c r="E3" s="4">
        <v>1</v>
      </c>
      <c r="F3" s="4">
        <v>0</v>
      </c>
      <c r="G3" s="4">
        <v>0</v>
      </c>
      <c r="H3" s="4">
        <v>0</v>
      </c>
      <c r="I3" s="4">
        <v>2</v>
      </c>
    </row>
    <row r="4" spans="1:9" x14ac:dyDescent="0.3">
      <c r="B4" s="7" t="s">
        <v>29</v>
      </c>
      <c r="C4" s="8">
        <f>VLOOKUP($A$1,[1]resultados_proyectados_proporci!$A$1:$AA$29,MATCH(C$2,[1]resultados_proyectados_proporci!$A$1:$AA$1,0),FALSE)</f>
        <v>7.3790014835395698E-2</v>
      </c>
      <c r="D4" s="8">
        <f>VLOOKUP($A$1,[1]resultados_proyectados_proporci!$A$1:$AA$29,MATCH(D$2,[1]resultados_proyectados_proporci!$A$1:$AA$1,0),FALSE)</f>
        <v>3.2506024199703198E-3</v>
      </c>
      <c r="E4" s="8">
        <f>VLOOKUP($A$1,[1]resultados_proyectados_proporci!$A$1:$AA$29,MATCH(E$2,[1]resultados_proyectados_proporci!$A$1:$AA$1,0),FALSE)</f>
        <v>7.2798487304159901E-2</v>
      </c>
      <c r="F4" s="8">
        <f>VLOOKUP($A$1,[1]resultados_proyectados_proporci!$A$1:$AA$29,MATCH(F$2,[1]resultados_proyectados_proporci!$A$1:$AA$1,0),FALSE)</f>
        <v>0.11662078841981501</v>
      </c>
      <c r="G4" s="8">
        <f>VLOOKUP($A$1,[1]resultados_proyectados_proporci!$A$1:$AA$29,MATCH(G$2,[1]resultados_proyectados_proporci!$A$1:$AA$1,0),FALSE)</f>
        <v>7.8678513544802001E-2</v>
      </c>
      <c r="H4" s="8">
        <f>VLOOKUP($A$1,[1]resultados_proyectados_proporci!$A$1:$AA$29,MATCH(H$2,[1]resultados_proyectados_proporci!$A$1:$AA$1,0),FALSE)</f>
        <v>0.12947956059787499</v>
      </c>
      <c r="I4" s="8">
        <f>VLOOKUP($A$1,[1]resultados_proyectados_proporci!$A$1:$AA$29,MATCH(I$2,[1]resultados_proyectados_proporci!$A$1:$AA$1,0),FALSE)</f>
        <v>0.14268134770565799</v>
      </c>
    </row>
    <row r="5" spans="1:9" x14ac:dyDescent="0.3">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row>
    <row r="6" spans="1:9" x14ac:dyDescent="0.3">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row>
    <row r="9" spans="1:9"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row>
    <row r="10" spans="1:9"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row>
    <row r="11" spans="1:9" x14ac:dyDescent="0.3">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x14ac:dyDescent="0.3">
      <c r="B13" s="1" t="s">
        <v>77</v>
      </c>
      <c r="C13" s="6">
        <f>VLOOKUP($A$1,[10]resultados_integracion_partido_!$A$1:$AA$29,MATCH(C$2,[10]resultados_integracion_partido_!$A$1:$AA$1,0),FALSE)</f>
        <v>1</v>
      </c>
      <c r="D13" s="6">
        <f>VLOOKUP($A$1,[10]resultados_integracion_partido_!$A$1:$AA$29,MATCH(D$2,[10]resultados_integracion_partido_!$A$1:$AA$1,0),FALSE)</f>
        <v>0</v>
      </c>
      <c r="E13" s="6">
        <f>VLOOKUP($A$1,[10]resultados_integracion_partido_!$A$1:$AA$29,MATCH(E$2,[10]resultados_integracion_partido_!$A$1:$AA$1,0),FALSE)</f>
        <v>0</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1</v>
      </c>
    </row>
    <row r="14" spans="1:9" x14ac:dyDescent="0.3">
      <c r="B14" s="1" t="s">
        <v>78</v>
      </c>
      <c r="C14" s="6">
        <f>VLOOKUP($A$1,[11]resultados_integracion_partido_!$A$1:$AA$29,MATCH(C$2,[11]resultados_integracion_partido_!$A$1:$AA$1,0),FALSE)</f>
        <v>1</v>
      </c>
      <c r="D14" s="6">
        <f>VLOOKUP($A$1,[11]resultados_integracion_partido_!$A$1:$AA$29,MATCH(D$2,[11]resultados_integracion_partido_!$A$1:$AA$1,0),FALSE)</f>
        <v>0</v>
      </c>
      <c r="E14" s="6">
        <f>VLOOKUP($A$1,[11]resultados_integracion_partido_!$A$1:$AA$29,MATCH(E$2,[11]resultados_integracion_partido_!$A$1:$AA$1,0),FALSE)</f>
        <v>0</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1</v>
      </c>
    </row>
    <row r="15" spans="1:9" ht="15" thickBot="1" x14ac:dyDescent="0.35"/>
    <row r="16" spans="1:9" ht="14.55" customHeight="1" x14ac:dyDescent="0.3">
      <c r="B16" s="35" t="s">
        <v>73</v>
      </c>
      <c r="C16" s="36"/>
      <c r="D16" s="36"/>
      <c r="E16" s="36"/>
      <c r="F16" s="36"/>
      <c r="G16" s="36"/>
      <c r="H16" s="36"/>
      <c r="I16" s="37"/>
    </row>
    <row r="17" spans="2:9" x14ac:dyDescent="0.3">
      <c r="B17" s="38"/>
      <c r="C17" s="39"/>
      <c r="D17" s="39"/>
      <c r="E17" s="39"/>
      <c r="F17" s="39"/>
      <c r="G17" s="39"/>
      <c r="H17" s="39"/>
      <c r="I17" s="40"/>
    </row>
    <row r="18" spans="2:9" x14ac:dyDescent="0.3">
      <c r="B18" s="38"/>
      <c r="C18" s="39"/>
      <c r="D18" s="39"/>
      <c r="E18" s="39"/>
      <c r="F18" s="39"/>
      <c r="G18" s="39"/>
      <c r="H18" s="39"/>
      <c r="I18" s="40"/>
    </row>
    <row r="19" spans="2:9" x14ac:dyDescent="0.3">
      <c r="B19" s="38"/>
      <c r="C19" s="39"/>
      <c r="D19" s="39"/>
      <c r="E19" s="39"/>
      <c r="F19" s="39"/>
      <c r="G19" s="39"/>
      <c r="H19" s="39"/>
      <c r="I19" s="40"/>
    </row>
    <row r="20" spans="2:9" x14ac:dyDescent="0.3">
      <c r="B20" s="38"/>
      <c r="C20" s="39"/>
      <c r="D20" s="39"/>
      <c r="E20" s="39"/>
      <c r="F20" s="39"/>
      <c r="G20" s="39"/>
      <c r="H20" s="39"/>
      <c r="I20" s="40"/>
    </row>
    <row r="21" spans="2:9" x14ac:dyDescent="0.3">
      <c r="B21" s="38"/>
      <c r="C21" s="39"/>
      <c r="D21" s="39"/>
      <c r="E21" s="39"/>
      <c r="F21" s="39"/>
      <c r="G21" s="39"/>
      <c r="H21" s="39"/>
      <c r="I21" s="40"/>
    </row>
    <row r="22" spans="2:9" x14ac:dyDescent="0.3">
      <c r="B22" s="38"/>
      <c r="C22" s="39"/>
      <c r="D22" s="39"/>
      <c r="E22" s="39"/>
      <c r="F22" s="39"/>
      <c r="G22" s="39"/>
      <c r="H22" s="39"/>
      <c r="I22" s="40"/>
    </row>
    <row r="23" spans="2:9" x14ac:dyDescent="0.3">
      <c r="B23" s="38"/>
      <c r="C23" s="39"/>
      <c r="D23" s="39"/>
      <c r="E23" s="39"/>
      <c r="F23" s="39"/>
      <c r="G23" s="39"/>
      <c r="H23" s="39"/>
      <c r="I23" s="40"/>
    </row>
    <row r="24" spans="2:9" x14ac:dyDescent="0.3">
      <c r="B24" s="38"/>
      <c r="C24" s="39"/>
      <c r="D24" s="39"/>
      <c r="E24" s="39"/>
      <c r="F24" s="39"/>
      <c r="G24" s="39"/>
      <c r="H24" s="39"/>
      <c r="I24" s="40"/>
    </row>
    <row r="25" spans="2:9" ht="130.94999999999999" customHeight="1" thickBot="1" x14ac:dyDescent="0.35">
      <c r="B25" s="41"/>
      <c r="C25" s="42"/>
      <c r="D25" s="42"/>
      <c r="E25" s="42"/>
      <c r="F25" s="42"/>
      <c r="G25" s="42"/>
      <c r="H25" s="42"/>
      <c r="I25" s="43"/>
    </row>
  </sheetData>
  <mergeCells count="1">
    <mergeCell ref="B16:I25"/>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5"/>
  <sheetViews>
    <sheetView showGridLines="0" zoomScaleNormal="100" workbookViewId="0">
      <selection activeCell="D5" sqref="D5"/>
    </sheetView>
  </sheetViews>
  <sheetFormatPr baseColWidth="10" defaultRowHeight="14.4" x14ac:dyDescent="0.3"/>
  <cols>
    <col min="1" max="1" width="2.77734375" bestFit="1" customWidth="1"/>
    <col min="2" max="2" width="19.33203125" bestFit="1" customWidth="1"/>
    <col min="3" max="4" width="5.88671875" bestFit="1" customWidth="1"/>
    <col min="5" max="7" width="6.88671875" bestFit="1" customWidth="1"/>
    <col min="8" max="9" width="5.88671875" bestFit="1" customWidth="1"/>
  </cols>
  <sheetData>
    <row r="1" spans="1:9" x14ac:dyDescent="0.3">
      <c r="A1" s="30">
        <v>26</v>
      </c>
    </row>
    <row r="2" spans="1:9" x14ac:dyDescent="0.3">
      <c r="B2" s="3" t="s">
        <v>0</v>
      </c>
      <c r="C2" s="3" t="s">
        <v>11</v>
      </c>
      <c r="D2" s="3" t="s">
        <v>16</v>
      </c>
      <c r="E2" s="3" t="s">
        <v>23</v>
      </c>
      <c r="F2" s="3" t="s">
        <v>60</v>
      </c>
      <c r="G2" s="3" t="s">
        <v>15</v>
      </c>
      <c r="H2" s="3" t="s">
        <v>22</v>
      </c>
      <c r="I2" s="3" t="s">
        <v>20</v>
      </c>
    </row>
    <row r="3" spans="1:9" x14ac:dyDescent="0.3">
      <c r="B3" s="4" t="s">
        <v>1</v>
      </c>
      <c r="C3" s="4">
        <v>1</v>
      </c>
      <c r="D3" s="4">
        <v>1</v>
      </c>
      <c r="E3" s="4">
        <v>2</v>
      </c>
      <c r="F3" s="4">
        <v>0</v>
      </c>
      <c r="G3" s="4">
        <v>1</v>
      </c>
      <c r="H3" s="4">
        <v>0</v>
      </c>
      <c r="I3" s="4">
        <v>0</v>
      </c>
    </row>
    <row r="4" spans="1:9" x14ac:dyDescent="0.3">
      <c r="B4" s="7" t="s">
        <v>29</v>
      </c>
      <c r="C4" s="8">
        <f>VLOOKUP($A$1,[1]resultados_proyectados_proporci!$A$1:$AA$29,MATCH(C$2,[1]resultados_proyectados_proporci!$A$1:$AA$1,0),FALSE)</f>
        <v>6.1849570032006702E-2</v>
      </c>
      <c r="D4" s="8">
        <f>VLOOKUP($A$1,[1]resultados_proyectados_proporci!$A$1:$AA$29,MATCH(D$2,[1]resultados_proyectados_proporci!$A$1:$AA$1,0),FALSE)</f>
        <v>2.74615092106766E-2</v>
      </c>
      <c r="E4" s="8">
        <f>VLOOKUP($A$1,[1]resultados_proyectados_proporci!$A$1:$AA$29,MATCH(E$2,[1]resultados_proyectados_proporci!$A$1:$AA$1,0),FALSE)</f>
        <v>0.15627627084828899</v>
      </c>
      <c r="F4" s="8">
        <f>VLOOKUP($A$1,[1]resultados_proyectados_proporci!$A$1:$AA$29,MATCH(F$2,[1]resultados_proyectados_proporci!$A$1:$AA$1,0),FALSE)</f>
        <v>0.103983534519361</v>
      </c>
      <c r="G4" s="8">
        <f>VLOOKUP($A$1,[1]resultados_proyectados_proporci!$A$1:$AA$29,MATCH(G$2,[1]resultados_proyectados_proporci!$A$1:$AA$1,0),FALSE)</f>
        <v>0.12398859898471901</v>
      </c>
      <c r="H4" s="8">
        <f>VLOOKUP($A$1,[1]resultados_proyectados_proporci!$A$1:$AA$29,MATCH(H$2,[1]resultados_proyectados_proporci!$A$1:$AA$1,0),FALSE)</f>
        <v>7.7603126667905697E-2</v>
      </c>
      <c r="I4" s="8">
        <f>VLOOKUP($A$1,[1]resultados_proyectados_proporci!$A$1:$AA$29,MATCH(I$2,[1]resultados_proyectados_proporci!$A$1:$AA$1,0),FALSE)</f>
        <v>5.3630897672221602E-2</v>
      </c>
    </row>
    <row r="5" spans="1:9" x14ac:dyDescent="0.3">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2</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0</v>
      </c>
    </row>
    <row r="6" spans="1:9" x14ac:dyDescent="0.3">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0</v>
      </c>
    </row>
    <row r="9" spans="1:9" x14ac:dyDescent="0.3">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0</v>
      </c>
    </row>
    <row r="10" spans="1:9" x14ac:dyDescent="0.3">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0</v>
      </c>
    </row>
    <row r="11" spans="1:9" x14ac:dyDescent="0.3">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x14ac:dyDescent="0.3">
      <c r="B13" s="1" t="s">
        <v>77</v>
      </c>
      <c r="C13" s="6">
        <f>VLOOKUP($A$1,[10]resultados_integracion_partido_!$A$1:$AA$29,MATCH(C$2,[10]resultados_integracion_partido_!$A$1:$AA$1,0),FALSE)</f>
        <v>1</v>
      </c>
      <c r="D13" s="6">
        <f>VLOOKUP($A$1,[10]resultados_integracion_partido_!$A$1:$AA$29,MATCH(D$2,[10]resultados_integracion_partido_!$A$1:$AA$1,0),FALSE)</f>
        <v>0</v>
      </c>
      <c r="E13" s="6">
        <f>VLOOKUP($A$1,[10]resultados_integracion_partido_!$A$1:$AA$29,MATCH(E$2,[10]resultados_integracion_partido_!$A$1:$AA$1,0),FALSE)</f>
        <v>1</v>
      </c>
      <c r="F13" s="6">
        <f>VLOOKUP($A$1,[10]resultados_integracion_partido_!$A$1:$AA$29,MATCH(F$2,[10]resultados_integracion_partido_!$A$1:$AA$1,0),FALSE)</f>
        <v>1</v>
      </c>
      <c r="G13" s="6">
        <f>VLOOKUP($A$1,[10]resultados_integracion_partido_!$A$1:$AA$29,MATCH(G$2,[10]resultados_integracion_partido_!$A$1:$AA$1,0),FALSE)</f>
        <v>1</v>
      </c>
      <c r="H13" s="6">
        <f>VLOOKUP($A$1,[10]resultados_integracion_partido_!$A$1:$AA$29,MATCH(H$2,[10]resultados_integracion_partido_!$A$1:$AA$1,0),FALSE)</f>
        <v>1</v>
      </c>
      <c r="I13" s="6">
        <f>VLOOKUP($A$1,[10]resultados_integracion_partido_!$A$1:$AA$29,MATCH(I$2,[10]resultados_integracion_partido_!$A$1:$AA$1,0),FALSE)</f>
        <v>0</v>
      </c>
    </row>
    <row r="14" spans="1:9" x14ac:dyDescent="0.3">
      <c r="B14" s="1" t="s">
        <v>78</v>
      </c>
      <c r="C14" s="6">
        <f>VLOOKUP($A$1,[11]resultados_integracion_partido_!$A$1:$AA$29,MATCH(C$2,[11]resultados_integracion_partido_!$A$1:$AA$1,0),FALSE)</f>
        <v>1</v>
      </c>
      <c r="D14" s="6">
        <f>VLOOKUP($A$1,[11]resultados_integracion_partido_!$A$1:$AA$29,MATCH(D$2,[11]resultados_integracion_partido_!$A$1:$AA$1,0),FALSE)</f>
        <v>0</v>
      </c>
      <c r="E14" s="6">
        <f>VLOOKUP($A$1,[11]resultados_integracion_partido_!$A$1:$AA$29,MATCH(E$2,[11]resultados_integracion_partido_!$A$1:$AA$1,0),FALSE)</f>
        <v>1</v>
      </c>
      <c r="F14" s="6">
        <f>VLOOKUP($A$1,[11]resultados_integracion_partido_!$A$1:$AA$29,MATCH(F$2,[11]resultados_integracion_partido_!$A$1:$AA$1,0),FALSE)</f>
        <v>1</v>
      </c>
      <c r="G14" s="6">
        <f>VLOOKUP($A$1,[11]resultados_integracion_partido_!$A$1:$AA$29,MATCH(G$2,[11]resultados_integracion_partido_!$A$1:$AA$1,0),FALSE)</f>
        <v>1</v>
      </c>
      <c r="H14" s="6">
        <f>VLOOKUP($A$1,[11]resultados_integracion_partido_!$A$1:$AA$29,MATCH(H$2,[11]resultados_integracion_partido_!$A$1:$AA$1,0),FALSE)</f>
        <v>1</v>
      </c>
      <c r="I14" s="6">
        <f>VLOOKUP($A$1,[11]resultados_integracion_partido_!$A$1:$AA$29,MATCH(I$2,[11]resultados_integracion_partido_!$A$1:$AA$1,0),FALSE)</f>
        <v>0</v>
      </c>
    </row>
    <row r="15" spans="1:9" ht="15" thickBot="1" x14ac:dyDescent="0.35"/>
    <row r="16" spans="1:9" ht="14.55" customHeight="1" x14ac:dyDescent="0.3">
      <c r="B16" s="35" t="s">
        <v>74</v>
      </c>
      <c r="C16" s="36"/>
      <c r="D16" s="36"/>
      <c r="E16" s="36"/>
      <c r="F16" s="36"/>
      <c r="G16" s="36"/>
      <c r="H16" s="36"/>
      <c r="I16" s="37"/>
    </row>
    <row r="17" spans="2:9" x14ac:dyDescent="0.3">
      <c r="B17" s="38"/>
      <c r="C17" s="39"/>
      <c r="D17" s="39"/>
      <c r="E17" s="39"/>
      <c r="F17" s="39"/>
      <c r="G17" s="39"/>
      <c r="H17" s="39"/>
      <c r="I17" s="40"/>
    </row>
    <row r="18" spans="2:9" x14ac:dyDescent="0.3">
      <c r="B18" s="38"/>
      <c r="C18" s="39"/>
      <c r="D18" s="39"/>
      <c r="E18" s="39"/>
      <c r="F18" s="39"/>
      <c r="G18" s="39"/>
      <c r="H18" s="39"/>
      <c r="I18" s="40"/>
    </row>
    <row r="19" spans="2:9" x14ac:dyDescent="0.3">
      <c r="B19" s="38"/>
      <c r="C19" s="39"/>
      <c r="D19" s="39"/>
      <c r="E19" s="39"/>
      <c r="F19" s="39"/>
      <c r="G19" s="39"/>
      <c r="H19" s="39"/>
      <c r="I19" s="40"/>
    </row>
    <row r="20" spans="2:9" x14ac:dyDescent="0.3">
      <c r="B20" s="38"/>
      <c r="C20" s="39"/>
      <c r="D20" s="39"/>
      <c r="E20" s="39"/>
      <c r="F20" s="39"/>
      <c r="G20" s="39"/>
      <c r="H20" s="39"/>
      <c r="I20" s="40"/>
    </row>
    <row r="21" spans="2:9" x14ac:dyDescent="0.3">
      <c r="B21" s="38"/>
      <c r="C21" s="39"/>
      <c r="D21" s="39"/>
      <c r="E21" s="39"/>
      <c r="F21" s="39"/>
      <c r="G21" s="39"/>
      <c r="H21" s="39"/>
      <c r="I21" s="40"/>
    </row>
    <row r="22" spans="2:9" x14ac:dyDescent="0.3">
      <c r="B22" s="38"/>
      <c r="C22" s="39"/>
      <c r="D22" s="39"/>
      <c r="E22" s="39"/>
      <c r="F22" s="39"/>
      <c r="G22" s="39"/>
      <c r="H22" s="39"/>
      <c r="I22" s="40"/>
    </row>
    <row r="23" spans="2:9" x14ac:dyDescent="0.3">
      <c r="B23" s="38"/>
      <c r="C23" s="39"/>
      <c r="D23" s="39"/>
      <c r="E23" s="39"/>
      <c r="F23" s="39"/>
      <c r="G23" s="39"/>
      <c r="H23" s="39"/>
      <c r="I23" s="40"/>
    </row>
    <row r="24" spans="2:9" x14ac:dyDescent="0.3">
      <c r="B24" s="38"/>
      <c r="C24" s="39"/>
      <c r="D24" s="39"/>
      <c r="E24" s="39"/>
      <c r="F24" s="39"/>
      <c r="G24" s="39"/>
      <c r="H24" s="39"/>
      <c r="I24" s="40"/>
    </row>
    <row r="25" spans="2:9" ht="112.5" customHeight="1" thickBot="1" x14ac:dyDescent="0.35">
      <c r="B25" s="41"/>
      <c r="C25" s="42"/>
      <c r="D25" s="42"/>
      <c r="E25" s="42"/>
      <c r="F25" s="42"/>
      <c r="G25" s="42"/>
      <c r="H25" s="42"/>
      <c r="I25" s="43"/>
    </row>
  </sheetData>
  <mergeCells count="1">
    <mergeCell ref="B16:I2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5"/>
  <sheetViews>
    <sheetView showGridLines="0" tabSelected="1" topLeftCell="A16" workbookViewId="0">
      <selection activeCell="B16" sqref="B16:J25"/>
    </sheetView>
  </sheetViews>
  <sheetFormatPr baseColWidth="10" defaultRowHeight="14.4" x14ac:dyDescent="0.3"/>
  <cols>
    <col min="1" max="1" width="2.77734375" bestFit="1" customWidth="1"/>
    <col min="2" max="2" width="19.33203125" bestFit="1" customWidth="1"/>
    <col min="3" max="4" width="5.88671875" bestFit="1" customWidth="1"/>
    <col min="5" max="6" width="6.88671875" bestFit="1" customWidth="1"/>
    <col min="7" max="8" width="5.88671875" bestFit="1" customWidth="1"/>
    <col min="9" max="9" width="6.88671875" bestFit="1" customWidth="1"/>
    <col min="10" max="10" width="5.88671875" bestFit="1" customWidth="1"/>
  </cols>
  <sheetData>
    <row r="1" spans="1:10" x14ac:dyDescent="0.3">
      <c r="A1" s="30">
        <v>28</v>
      </c>
    </row>
    <row r="2" spans="1:10" x14ac:dyDescent="0.3">
      <c r="B2" s="3" t="s">
        <v>0</v>
      </c>
      <c r="C2" s="3" t="s">
        <v>11</v>
      </c>
      <c r="D2" s="3" t="s">
        <v>62</v>
      </c>
      <c r="E2" s="3" t="s">
        <v>25</v>
      </c>
      <c r="F2" s="3" t="s">
        <v>60</v>
      </c>
      <c r="G2" s="3" t="s">
        <v>21</v>
      </c>
      <c r="H2" s="3" t="s">
        <v>15</v>
      </c>
      <c r="I2" s="3" t="s">
        <v>22</v>
      </c>
      <c r="J2" s="9" t="s">
        <v>20</v>
      </c>
    </row>
    <row r="3" spans="1:10" x14ac:dyDescent="0.3">
      <c r="B3" s="4" t="s">
        <v>1</v>
      </c>
      <c r="C3" s="4">
        <v>1</v>
      </c>
      <c r="D3" s="4">
        <v>1</v>
      </c>
      <c r="E3" s="4">
        <v>1</v>
      </c>
      <c r="F3" s="4">
        <v>0</v>
      </c>
      <c r="G3" s="4">
        <v>0</v>
      </c>
      <c r="H3" s="4">
        <v>0</v>
      </c>
      <c r="I3" s="4">
        <v>0</v>
      </c>
      <c r="J3" s="4">
        <v>0</v>
      </c>
    </row>
    <row r="4" spans="1:10" x14ac:dyDescent="0.3">
      <c r="B4" s="7" t="s">
        <v>29</v>
      </c>
      <c r="C4" s="8">
        <f>VLOOKUP($A$1,[12]resultados_proyectados_proporci!$A$1:$AA$29,MATCH(C$2,[12]resultados_proyectados_proporci!$A$1:$AA$1,0),FALSE)</f>
        <v>7.7847658371007794E-2</v>
      </c>
      <c r="D4" s="8">
        <f>VLOOKUP($A$1,[12]resultados_proyectados_proporci!$A$1:$AA$29,MATCH(D$2,[12]resultados_proyectados_proporci!$A$1:$AA$1,0),FALSE)</f>
        <v>3.6327261851874397E-2</v>
      </c>
      <c r="E4" s="8">
        <f>VLOOKUP($A$1,[12]resultados_proyectados_proporci!$A$1:$AA$29,MATCH(E$2,[12]resultados_proyectados_proporci!$A$1:$AA$1,0),FALSE)</f>
        <v>0.142161517086385</v>
      </c>
      <c r="F4" s="8">
        <f>VLOOKUP($A$1,[12]resultados_proyectados_proporci!$A$1:$AA$29,MATCH(F$2,[12]resultados_proyectados_proporci!$A$1:$AA$1,0),FALSE)</f>
        <v>9.5841427190132195E-2</v>
      </c>
      <c r="G4" s="8">
        <f>VLOOKUP($A$1,[12]resultados_proyectados_proporci!$A$1:$AA$29,MATCH(G$2,[12]resultados_proyectados_proporci!$A$1:$AA$1,0),FALSE)</f>
        <v>2.6257487724922101E-2</v>
      </c>
      <c r="H4" s="8">
        <f>VLOOKUP($A$1,[12]resultados_proyectados_proporci!$A$1:$AA$29,MATCH(H$2,[12]resultados_proyectados_proporci!$A$1:$AA$1,0),FALSE)</f>
        <v>8.2692357947368803E-2</v>
      </c>
      <c r="I4" s="8">
        <f>VLOOKUP($A$1,[12]resultados_proyectados_proporci!$A$1:$AA$29,MATCH(I$2,[12]resultados_proyectados_proporci!$A$1:$AA$1,0),FALSE)</f>
        <v>7.8123502817968704E-2</v>
      </c>
      <c r="J4" s="8">
        <f>VLOOKUP($A$1,[12]resultados_proyectados_proporci!$A$1:$AA$29,MATCH(J$2,[12]resultados_proyectados_proporci!$A$1:$AA$1,0),FALSE)</f>
        <v>4.45169383008562E-2</v>
      </c>
    </row>
    <row r="5" spans="1:10" x14ac:dyDescent="0.3">
      <c r="B5" s="4" t="s">
        <v>2</v>
      </c>
      <c r="C5" s="6">
        <f>VLOOKUP($A$1,[13]resultados_integracion_partido_!$A$1:$AA$29,MATCH(C$2,[13]resultados_integracion_partido_!$A$1:$AA$1,0),FALSE)</f>
        <v>0</v>
      </c>
      <c r="D5" s="6">
        <f>VLOOKUP($A$1,[13]resultados_integracion_partido_!$A$1:$AA$29,MATCH(D$2,[13]resultados_integracion_partido_!$A$1:$AA$1,0),FALSE)</f>
        <v>0</v>
      </c>
      <c r="E5" s="6">
        <f>VLOOKUP($A$1,[13]resultados_integracion_partido_!$A$1:$AA$29,MATCH(E$2,[13]resultados_integracion_partido_!$A$1:$AA$1,0),FALSE)</f>
        <v>1</v>
      </c>
      <c r="F5" s="6">
        <f>VLOOKUP($A$1,[13]resultados_integracion_partido_!$A$1:$AA$29,MATCH(F$2,[13]resultados_integracion_partido_!$A$1:$AA$1,0),FALSE)</f>
        <v>1</v>
      </c>
      <c r="G5" s="6">
        <f>VLOOKUP($A$1,[13]resultados_integracion_partido_!$A$1:$AA$29,MATCH(G$2,[13]resultados_integracion_partido_!$A$1:$AA$1,0),FALSE)</f>
        <v>0</v>
      </c>
      <c r="H5" s="6">
        <f>VLOOKUP($A$1,[13]resultados_integracion_partido_!$A$1:$AA$29,MATCH(H$2,[13]resultados_integracion_partido_!$A$1:$AA$1,0),FALSE)</f>
        <v>1</v>
      </c>
      <c r="I5" s="6">
        <f>VLOOKUP($A$1,[13]resultados_integracion_partido_!$A$1:$AA$29,MATCH(I$2,[13]resultados_integracion_partido_!$A$1:$AA$1,0),FALSE)</f>
        <v>0</v>
      </c>
      <c r="J5" s="6">
        <f>VLOOKUP($A$1,[13]resultados_integracion_partido_!$A$1:$AA$29,MATCH(J$2,[13]resultados_integracion_partido_!$A$1:$AA$1,0),FALSE)</f>
        <v>0</v>
      </c>
    </row>
    <row r="6" spans="1:10" x14ac:dyDescent="0.3">
      <c r="B6" s="4" t="s">
        <v>3</v>
      </c>
      <c r="C6" s="6">
        <f>VLOOKUP($A$1,[14]resultados_integracion_partido_!$A$1:$AA$29,MATCH(C$2,[14]resultados_integracion_partido_!$A$1:$AA$1,0),FALSE)</f>
        <v>0</v>
      </c>
      <c r="D6" s="6">
        <f>VLOOKUP($A$1,[14]resultados_integracion_partido_!$A$1:$AA$29,MATCH(D$2,[14]resultados_integracion_partido_!$A$1:$AA$1,0),FALSE)</f>
        <v>0</v>
      </c>
      <c r="E6" s="6">
        <f>VLOOKUP($A$1,[14]resultados_integracion_partido_!$A$1:$AA$29,MATCH(E$2,[14]resultados_integracion_partido_!$A$1:$AA$1,0),FALSE)</f>
        <v>0</v>
      </c>
      <c r="F6" s="6">
        <f>VLOOKUP($A$1,[14]resultados_integracion_partido_!$A$1:$AA$29,MATCH(F$2,[14]resultados_integracion_partido_!$A$1:$AA$1,0),FALSE)</f>
        <v>1</v>
      </c>
      <c r="G6" s="6">
        <f>VLOOKUP($A$1,[14]resultados_integracion_partido_!$A$1:$AA$29,MATCH(G$2,[14]resultados_integracion_partido_!$A$1:$AA$1,0),FALSE)</f>
        <v>0</v>
      </c>
      <c r="H6" s="6">
        <f>VLOOKUP($A$1,[14]resultados_integracion_partido_!$A$1:$AA$29,MATCH(H$2,[14]resultados_integracion_partido_!$A$1:$AA$1,0),FALSE)</f>
        <v>1</v>
      </c>
      <c r="I6" s="6">
        <f>VLOOKUP($A$1,[14]resultados_integracion_partido_!$A$1:$AA$29,MATCH(I$2,[14]resultados_integracion_partido_!$A$1:$AA$1,0),FALSE)</f>
        <v>1</v>
      </c>
      <c r="J6" s="6">
        <f>VLOOKUP($A$1,[14]resultados_integracion_partido_!$A$1:$AA$29,MATCH(J$2,[14]resultados_integracion_partido_!$A$1:$AA$1,0),FALSE)</f>
        <v>0</v>
      </c>
    </row>
    <row r="7" spans="1:10" x14ac:dyDescent="0.3">
      <c r="B7" s="4" t="s">
        <v>4</v>
      </c>
      <c r="C7" s="6">
        <f>VLOOKUP($A$1,[15]resultados_integracion_partido_!$A$1:$AA$29,MATCH(C$2,[15]resultados_integracion_partido_!$A$1:$AA$1,0),FALSE)</f>
        <v>0</v>
      </c>
      <c r="D7" s="6">
        <f>VLOOKUP($A$1,[15]resultados_integracion_partido_!$A$1:$AA$29,MATCH(D$2,[15]resultados_integracion_partido_!$A$1:$AA$1,0),FALSE)</f>
        <v>0</v>
      </c>
      <c r="E7" s="6">
        <f>VLOOKUP($A$1,[15]resultados_integracion_partido_!$A$1:$AA$29,MATCH(E$2,[15]resultados_integracion_partido_!$A$1:$AA$1,0),FALSE)</f>
        <v>1</v>
      </c>
      <c r="F7" s="6">
        <f>VLOOKUP($A$1,[15]resultados_integracion_partido_!$A$1:$AA$29,MATCH(F$2,[15]resultados_integracion_partido_!$A$1:$AA$1,0),FALSE)</f>
        <v>0</v>
      </c>
      <c r="G7" s="6">
        <f>VLOOKUP($A$1,[15]resultados_integracion_partido_!$A$1:$AA$29,MATCH(G$2,[15]resultados_integracion_partido_!$A$1:$AA$1,0),FALSE)</f>
        <v>0</v>
      </c>
      <c r="H7" s="6">
        <f>VLOOKUP($A$1,[15]resultados_integracion_partido_!$A$1:$AA$29,MATCH(H$2,[15]resultados_integracion_partido_!$A$1:$AA$1,0),FALSE)</f>
        <v>1</v>
      </c>
      <c r="I7" s="6">
        <f>VLOOKUP($A$1,[15]resultados_integracion_partido_!$A$1:$AA$29,MATCH(I$2,[15]resultados_integracion_partido_!$A$1:$AA$1,0),FALSE)</f>
        <v>1</v>
      </c>
      <c r="J7" s="6">
        <f>VLOOKUP($A$1,[15]resultados_integracion_partido_!$A$1:$AA$29,MATCH(J$2,[15]resultados_integracion_partido_!$A$1:$AA$1,0),FALSE)</f>
        <v>0</v>
      </c>
    </row>
    <row r="8" spans="1:10" x14ac:dyDescent="0.3">
      <c r="B8" s="4" t="s">
        <v>5</v>
      </c>
      <c r="C8" s="6">
        <f>VLOOKUP($A$1,[16]resultados_integracion_partido_!$A$1:$AA$29,MATCH(C$2,[16]resultados_integracion_partido_!$A$1:$AA$1,0),FALSE)</f>
        <v>1</v>
      </c>
      <c r="D8" s="6">
        <f>VLOOKUP($A$1,[16]resultados_integracion_partido_!$A$1:$AA$29,MATCH(D$2,[16]resultados_integracion_partido_!$A$1:$AA$1,0),FALSE)</f>
        <v>0</v>
      </c>
      <c r="E8" s="6">
        <f>VLOOKUP($A$1,[16]resultados_integracion_partido_!$A$1:$AA$29,MATCH(E$2,[16]resultados_integracion_partido_!$A$1:$AA$1,0),FALSE)</f>
        <v>1</v>
      </c>
      <c r="F8" s="6">
        <f>VLOOKUP($A$1,[16]resultados_integracion_partido_!$A$1:$AA$29,MATCH(F$2,[16]resultados_integracion_partido_!$A$1:$AA$1,0),FALSE)</f>
        <v>0</v>
      </c>
      <c r="G8" s="6">
        <f>VLOOKUP($A$1,[16]resultados_integracion_partido_!$A$1:$AA$29,MATCH(G$2,[16]resultados_integracion_partido_!$A$1:$AA$1,0),FALSE)</f>
        <v>0</v>
      </c>
      <c r="H8" s="6">
        <f>VLOOKUP($A$1,[16]resultados_integracion_partido_!$A$1:$AA$29,MATCH(H$2,[16]resultados_integracion_partido_!$A$1:$AA$1,0),FALSE)</f>
        <v>0</v>
      </c>
      <c r="I8" s="6">
        <f>VLOOKUP($A$1,[16]resultados_integracion_partido_!$A$1:$AA$29,MATCH(I$2,[16]resultados_integracion_partido_!$A$1:$AA$1,0),FALSE)</f>
        <v>1</v>
      </c>
      <c r="J8" s="6">
        <f>VLOOKUP($A$1,[16]resultados_integracion_partido_!$A$1:$AA$29,MATCH(J$2,[16]resultados_integracion_partido_!$A$1:$AA$1,0),FALSE)</f>
        <v>0</v>
      </c>
    </row>
    <row r="9" spans="1:10" x14ac:dyDescent="0.3">
      <c r="B9" s="1" t="s">
        <v>31</v>
      </c>
      <c r="C9" s="6">
        <f>VLOOKUP($A$1,[17]resultados_integracion_partido_!$A$1:$AA$29,MATCH(C$2,[17]resultados_integracion_partido_!$A$1:$AA$1,0),FALSE)</f>
        <v>0</v>
      </c>
      <c r="D9" s="6">
        <f>VLOOKUP($A$1,[17]resultados_integracion_partido_!$A$1:$AA$29,MATCH(D$2,[17]resultados_integracion_partido_!$A$1:$AA$1,0),FALSE)</f>
        <v>0</v>
      </c>
      <c r="E9" s="6">
        <f>VLOOKUP($A$1,[17]resultados_integracion_partido_!$A$1:$AA$29,MATCH(E$2,[17]resultados_integracion_partido_!$A$1:$AA$1,0),FALSE)</f>
        <v>1</v>
      </c>
      <c r="F9" s="6">
        <f>VLOOKUP($A$1,[17]resultados_integracion_partido_!$A$1:$AA$29,MATCH(F$2,[17]resultados_integracion_partido_!$A$1:$AA$1,0),FALSE)</f>
        <v>0</v>
      </c>
      <c r="G9" s="6">
        <f>VLOOKUP($A$1,[17]resultados_integracion_partido_!$A$1:$AA$29,MATCH(G$2,[17]resultados_integracion_partido_!$A$1:$AA$1,0),FALSE)</f>
        <v>0</v>
      </c>
      <c r="H9" s="6">
        <f>VLOOKUP($A$1,[17]resultados_integracion_partido_!$A$1:$AA$29,MATCH(H$2,[17]resultados_integracion_partido_!$A$1:$AA$1,0),FALSE)</f>
        <v>1</v>
      </c>
      <c r="I9" s="6">
        <f>VLOOKUP($A$1,[17]resultados_integracion_partido_!$A$1:$AA$29,MATCH(I$2,[17]resultados_integracion_partido_!$A$1:$AA$1,0),FALSE)</f>
        <v>1</v>
      </c>
      <c r="J9" s="6">
        <f>VLOOKUP($A$1,[17]resultados_integracion_partido_!$A$1:$AA$29,MATCH(J$2,[17]resultados_integracion_partido_!$A$1:$AA$1,0),FALSE)</f>
        <v>0</v>
      </c>
    </row>
    <row r="10" spans="1:10" x14ac:dyDescent="0.3">
      <c r="B10" s="1" t="s">
        <v>32</v>
      </c>
      <c r="C10" s="6">
        <f>VLOOKUP($A$1,[18]resultados_integracion_partido_!$A$1:$AA$29,MATCH(C$2,[18]resultados_integracion_partido_!$A$1:$AA$1,0),FALSE)</f>
        <v>0</v>
      </c>
      <c r="D10" s="6">
        <f>VLOOKUP($A$1,[18]resultados_integracion_partido_!$A$1:$AA$29,MATCH(D$2,[18]resultados_integracion_partido_!$A$1:$AA$1,0),FALSE)</f>
        <v>0</v>
      </c>
      <c r="E10" s="6">
        <f>VLOOKUP($A$1,[18]resultados_integracion_partido_!$A$1:$AA$29,MATCH(E$2,[18]resultados_integracion_partido_!$A$1:$AA$1,0),FALSE)</f>
        <v>1</v>
      </c>
      <c r="F10" s="6">
        <f>VLOOKUP($A$1,[18]resultados_integracion_partido_!$A$1:$AA$29,MATCH(F$2,[18]resultados_integracion_partido_!$A$1:$AA$1,0),FALSE)</f>
        <v>0</v>
      </c>
      <c r="G10" s="6">
        <f>VLOOKUP($A$1,[18]resultados_integracion_partido_!$A$1:$AA$29,MATCH(G$2,[18]resultados_integracion_partido_!$A$1:$AA$1,0),FALSE)</f>
        <v>0</v>
      </c>
      <c r="H10" s="6">
        <f>VLOOKUP($A$1,[18]resultados_integracion_partido_!$A$1:$AA$29,MATCH(H$2,[18]resultados_integracion_partido_!$A$1:$AA$1,0),FALSE)</f>
        <v>1</v>
      </c>
      <c r="I10" s="6">
        <f>VLOOKUP($A$1,[18]resultados_integracion_partido_!$A$1:$AA$29,MATCH(I$2,[18]resultados_integracion_partido_!$A$1:$AA$1,0),FALSE)</f>
        <v>1</v>
      </c>
      <c r="J10" s="6">
        <f>VLOOKUP($A$1,[18]resultados_integracion_partido_!$A$1:$AA$29,MATCH(J$2,[18]resultados_integracion_partido_!$A$1:$AA$1,0),FALSE)</f>
        <v>0</v>
      </c>
    </row>
    <row r="11" spans="1:10" x14ac:dyDescent="0.3">
      <c r="B11" s="1" t="s">
        <v>33</v>
      </c>
      <c r="C11" s="6">
        <f>VLOOKUP($A$1,[19]resultados_integracion_partido_!$A$1:$AA$29,MATCH(C$2,[19]resultados_integracion_partido_!$A$1:$AA$1,0),FALSE)</f>
        <v>0</v>
      </c>
      <c r="D11" s="6">
        <f>VLOOKUP($A$1,[19]resultados_integracion_partido_!$A$1:$AA$29,MATCH(D$2,[19]resultados_integracion_partido_!$A$1:$AA$1,0),FALSE)</f>
        <v>0</v>
      </c>
      <c r="E11" s="6">
        <f>VLOOKUP($A$1,[19]resultados_integracion_partido_!$A$1:$AA$29,MATCH(E$2,[19]resultados_integracion_partido_!$A$1:$AA$1,0),FALSE)</f>
        <v>1</v>
      </c>
      <c r="F11" s="6">
        <f>VLOOKUP($A$1,[19]resultados_integracion_partido_!$A$1:$AA$29,MATCH(F$2,[19]resultados_integracion_partido_!$A$1:$AA$1,0),FALSE)</f>
        <v>0</v>
      </c>
      <c r="G11" s="6">
        <f>VLOOKUP($A$1,[19]resultados_integracion_partido_!$A$1:$AA$29,MATCH(G$2,[19]resultados_integracion_partido_!$A$1:$AA$1,0),FALSE)</f>
        <v>0</v>
      </c>
      <c r="H11" s="6">
        <f>VLOOKUP($A$1,[19]resultados_integracion_partido_!$A$1:$AA$29,MATCH(H$2,[19]resultados_integracion_partido_!$A$1:$AA$1,0),FALSE)</f>
        <v>1</v>
      </c>
      <c r="I11" s="6">
        <f>VLOOKUP($A$1,[19]resultados_integracion_partido_!$A$1:$AA$29,MATCH(I$2,[19]resultados_integracion_partido_!$A$1:$AA$1,0),FALSE)</f>
        <v>1</v>
      </c>
      <c r="J11" s="6">
        <f>VLOOKUP($A$1,[19]resultados_integracion_partido_!$A$1:$AA$29,MATCH(J$2,[19]resultados_integracion_partido_!$A$1:$AA$1,0),FALSE)</f>
        <v>0</v>
      </c>
    </row>
    <row r="12" spans="1:10" x14ac:dyDescent="0.3">
      <c r="B12" s="1" t="s">
        <v>34</v>
      </c>
      <c r="C12" s="6">
        <f>VLOOKUP($A$1,[20]resultados_integracion_partido_!$A$1:$AA$29,MATCH(C$2,[20]resultados_integracion_partido_!$A$1:$AA$1,0),FALSE)</f>
        <v>0</v>
      </c>
      <c r="D12" s="6">
        <f>VLOOKUP($A$1,[20]resultados_integracion_partido_!$A$1:$AA$29,MATCH(D$2,[20]resultados_integracion_partido_!$A$1:$AA$1,0),FALSE)</f>
        <v>0</v>
      </c>
      <c r="E12" s="6">
        <f>VLOOKUP($A$1,[20]resultados_integracion_partido_!$A$1:$AA$29,MATCH(E$2,[20]resultados_integracion_partido_!$A$1:$AA$1,0),FALSE)</f>
        <v>1</v>
      </c>
      <c r="F12" s="6">
        <f>VLOOKUP($A$1,[20]resultados_integracion_partido_!$A$1:$AA$29,MATCH(F$2,[20]resultados_integracion_partido_!$A$1:$AA$1,0),FALSE)</f>
        <v>0</v>
      </c>
      <c r="G12" s="6">
        <f>VLOOKUP($A$1,[20]resultados_integracion_partido_!$A$1:$AA$29,MATCH(G$2,[20]resultados_integracion_partido_!$A$1:$AA$1,0),FALSE)</f>
        <v>0</v>
      </c>
      <c r="H12" s="6">
        <f>VLOOKUP($A$1,[20]resultados_integracion_partido_!$A$1:$AA$29,MATCH(H$2,[20]resultados_integracion_partido_!$A$1:$AA$1,0),FALSE)</f>
        <v>1</v>
      </c>
      <c r="I12" s="6">
        <f>VLOOKUP($A$1,[20]resultados_integracion_partido_!$A$1:$AA$29,MATCH(I$2,[20]resultados_integracion_partido_!$A$1:$AA$1,0),FALSE)</f>
        <v>1</v>
      </c>
      <c r="J12" s="6">
        <f>VLOOKUP($A$1,[20]resultados_integracion_partido_!$A$1:$AA$29,MATCH(J$2,[20]resultados_integracion_partido_!$A$1:$AA$1,0),FALSE)</f>
        <v>0</v>
      </c>
    </row>
    <row r="13" spans="1:10" x14ac:dyDescent="0.3">
      <c r="B13" s="1" t="s">
        <v>77</v>
      </c>
      <c r="C13" s="6">
        <f>VLOOKUP($A$1,[21]resultados_integracion_partido_!$A$1:$AA$29,MATCH(C$2,[21]resultados_integracion_partido_!$A$1:$AA$1,0),FALSE)</f>
        <v>1</v>
      </c>
      <c r="D13" s="6">
        <f>VLOOKUP($A$1,[21]resultados_integracion_partido_!$A$1:$AA$29,MATCH(D$2,[21]resultados_integracion_partido_!$A$1:$AA$1,0),FALSE)</f>
        <v>0</v>
      </c>
      <c r="E13" s="6">
        <f>VLOOKUP($A$1,[21]resultados_integracion_partido_!$A$1:$AA$29,MATCH(E$2,[21]resultados_integracion_partido_!$A$1:$AA$1,0),FALSE)</f>
        <v>0</v>
      </c>
      <c r="F13" s="6">
        <f>VLOOKUP($A$1,[21]resultados_integracion_partido_!$A$1:$AA$29,MATCH(F$2,[21]resultados_integracion_partido_!$A$1:$AA$1,0),FALSE)</f>
        <v>0</v>
      </c>
      <c r="G13" s="6">
        <f>VLOOKUP($A$1,[21]resultados_integracion_partido_!$A$1:$AA$29,MATCH(G$2,[21]resultados_integracion_partido_!$A$1:$AA$1,0),FALSE)</f>
        <v>0</v>
      </c>
      <c r="H13" s="6">
        <f>VLOOKUP($A$1,[21]resultados_integracion_partido_!$A$1:$AA$29,MATCH(H$2,[21]resultados_integracion_partido_!$A$1:$AA$1,0),FALSE)</f>
        <v>1</v>
      </c>
      <c r="I13" s="6">
        <f>VLOOKUP($A$1,[21]resultados_integracion_partido_!$A$1:$AA$29,MATCH(I$2,[21]resultados_integracion_partido_!$A$1:$AA$1,0),FALSE)</f>
        <v>1</v>
      </c>
      <c r="J13" s="6">
        <f>VLOOKUP($A$1,[21]resultados_integracion_partido_!$A$1:$AA$29,MATCH(J$2,[21]resultados_integracion_partido_!$A$1:$AA$1,0),FALSE)</f>
        <v>0</v>
      </c>
    </row>
    <row r="14" spans="1:10" x14ac:dyDescent="0.3">
      <c r="B14" s="1" t="s">
        <v>78</v>
      </c>
      <c r="C14" s="6">
        <f>VLOOKUP($A$1,[22]resultados_integracion_partido_!$A$1:$AA$29,MATCH(C$2,[22]resultados_integracion_partido_!$A$1:$AA$1,0),FALSE)</f>
        <v>1</v>
      </c>
      <c r="D14" s="6">
        <f>VLOOKUP($A$1,[22]resultados_integracion_partido_!$A$1:$AA$29,MATCH(D$2,[22]resultados_integracion_partido_!$A$1:$AA$1,0),FALSE)</f>
        <v>0</v>
      </c>
      <c r="E14" s="6">
        <f>VLOOKUP($A$1,[22]resultados_integracion_partido_!$A$1:$AA$29,MATCH(E$2,[22]resultados_integracion_partido_!$A$1:$AA$1,0),FALSE)</f>
        <v>0</v>
      </c>
      <c r="F14" s="6">
        <f>VLOOKUP($A$1,[22]resultados_integracion_partido_!$A$1:$AA$29,MATCH(F$2,[22]resultados_integracion_partido_!$A$1:$AA$1,0),FALSE)</f>
        <v>0</v>
      </c>
      <c r="G14" s="6">
        <f>VLOOKUP($A$1,[22]resultados_integracion_partido_!$A$1:$AA$29,MATCH(G$2,[22]resultados_integracion_partido_!$A$1:$AA$1,0),FALSE)</f>
        <v>0</v>
      </c>
      <c r="H14" s="6">
        <f>VLOOKUP($A$1,[22]resultados_integracion_partido_!$A$1:$AA$29,MATCH(H$2,[22]resultados_integracion_partido_!$A$1:$AA$1,0),FALSE)</f>
        <v>1</v>
      </c>
      <c r="I14" s="6">
        <f>VLOOKUP($A$1,[22]resultados_integracion_partido_!$A$1:$AA$29,MATCH(I$2,[22]resultados_integracion_partido_!$A$1:$AA$1,0),FALSE)</f>
        <v>1</v>
      </c>
      <c r="J14" s="6">
        <f>VLOOKUP($A$1,[22]resultados_integracion_partido_!$A$1:$AA$29,MATCH(J$2,[22]resultados_integracion_partido_!$A$1:$AA$1,0),FALSE)</f>
        <v>0</v>
      </c>
    </row>
    <row r="15" spans="1:10" ht="15" thickBot="1" x14ac:dyDescent="0.35"/>
    <row r="16" spans="1:10" ht="14.55" customHeight="1" x14ac:dyDescent="0.3">
      <c r="B16" s="35" t="s">
        <v>79</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63.5"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Resumen de Pactos</vt:lpstr>
      <vt:lpstr>D3</vt:lpstr>
      <vt:lpstr>D5</vt:lpstr>
      <vt:lpstr>D6</vt:lpstr>
      <vt:lpstr>D7</vt:lpstr>
      <vt:lpstr>D8_1</vt:lpstr>
      <vt:lpstr>D8_2</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Pablo Inzunza</cp:lastModifiedBy>
  <cp:lastPrinted>2025-01-12T22:53:24Z</cp:lastPrinted>
  <dcterms:created xsi:type="dcterms:W3CDTF">2024-12-22T23:53:50Z</dcterms:created>
  <dcterms:modified xsi:type="dcterms:W3CDTF">2025-02-03T02:39:31Z</dcterms:modified>
</cp:coreProperties>
</file>